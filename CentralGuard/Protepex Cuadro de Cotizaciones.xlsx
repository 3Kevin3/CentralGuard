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 Sólido Admin" sheetId="3" r:id="rId6"/>
    <sheet state="visible" name="Disco duro interno Admin" sheetId="4" r:id="rId7"/>
    <sheet state="visible" name="RAM Admin" sheetId="5" r:id="rId8"/>
    <sheet state="visible" name="Teclado Admin" sheetId="6" r:id="rId9"/>
    <sheet state="visible" name="Mouse Admin" sheetId="7" r:id="rId10"/>
    <sheet state="visible" name="Servidor Admin" sheetId="8" r:id="rId11"/>
    <sheet state="visible" name="Equipo Portátil Desarrolladores" sheetId="9" r:id="rId12"/>
    <sheet state="visible" name="Monitor Desarrolladores" sheetId="10" r:id="rId13"/>
    <sheet state="visible" name=" Disco mecánico Desarrolladores" sheetId="11" r:id="rId14"/>
    <sheet state="visible" name=" Servidor Desarrolladores" sheetId="12" r:id="rId15"/>
    <sheet state="visible" name="RAM Desarrolladores" sheetId="13" r:id="rId16"/>
    <sheet state="visible" name="Tarjeta de video Desarrolladore" sheetId="14" r:id="rId17"/>
    <sheet state="visible" name="Procesador Desarrolladores" sheetId="15" r:id="rId18"/>
    <sheet state="visible" name="Teclado Desarrolladores" sheetId="16" r:id="rId19"/>
    <sheet state="visible" name="Mouse Desarrolladores" sheetId="17" r:id="rId20"/>
    <sheet state="visible" name="licencia visual" sheetId="18" r:id="rId21"/>
    <sheet state="visible" name="windows 11 licencia" sheetId="19" r:id="rId22"/>
    <sheet state="visible" name="licencia SQL" sheetId="20" r:id="rId23"/>
    <sheet state="visible" name="Total" sheetId="21" r:id="rId24"/>
  </sheets>
  <definedNames/>
  <calcPr/>
  <extLst>
    <ext uri="GoogleSheetsCustomDataVersion2">
      <go:sheetsCustomData xmlns:go="http://customooxmlschemas.google.com/" r:id="rId25" roundtripDataChecksum="xPWGRdq6up2otaWexg7iXLUuN8bLP+3BPMeCCtzU/l4="/>
    </ext>
  </extLst>
</workbook>
</file>

<file path=xl/sharedStrings.xml><?xml version="1.0" encoding="utf-8"?>
<sst xmlns="http://schemas.openxmlformats.org/spreadsheetml/2006/main" count="671" uniqueCount="326">
  <si>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</si>
  <si>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</si>
  <si>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</si>
  <si>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</si>
  <si>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</si>
  <si>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</si>
  <si>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</si>
  <si>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</si>
  <si>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</si>
  <si>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</si>
  <si>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</si>
  <si>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</si>
  <si>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</si>
  <si>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Acer</t>
  </si>
  <si>
    <t>Acer Colombia S.A.S / Bogotá, Colombia / +57 601 587 8000</t>
  </si>
  <si>
    <t xml:space="preserve">Computador de escritorio con procesador Intel Core i3, 4GB RAM, disco duro HDD de 500GB, ideal para tareas administrativas básicas. </t>
  </si>
  <si>
    <t>$4.000 COP ≈ 1 USD</t>
  </si>
  <si>
    <t xml:space="preserve">Contado </t>
  </si>
  <si>
    <t>Procesador de 10ª generación, velocidad base de 3.6 GHz, memoria DDR4 expandible hasta 16GB, almacenamiento HDD con velocidad estándar, tarjeta gráfica integrada, conectividad WiFi y Ethernet, puertos USB 2.0 y 3.0, salida HDMI y VGA, sistema operativo compatible con Windows 10/11, adecuado para tareas básicas de oficina como documentos, navegación web y gestión de datos simples.</t>
  </si>
  <si>
    <t xml:space="preserve">Nº2 </t>
  </si>
  <si>
    <t>HP</t>
  </si>
  <si>
    <t>HP Colombia S.A.S / Bogotá, Colombia / +57 601 489 0400</t>
  </si>
  <si>
    <t>Computador con Intel Core i5, 8GB RAM y SSD de 256GB, adecuado para multitarea administrativa.</t>
  </si>
  <si>
    <t>Procesador de 11ª generación con velocidad de hasta 4.2 GHz, memoria RAM DDR4 ampliable hasta 32GB, almacenamiento SSD que mejora la velocidad de arranque y ejecución, gráficos integrados Intel UHD, conectividad WiFi y Bluetooth, múltiples puertos USB 3.0, HDMI, DisplayPort, sistema operativo Windows 11, ideal para multitarea, uso administrativo intensivo y aplicaciones de oficina.</t>
  </si>
  <si>
    <t>Nº 3</t>
  </si>
  <si>
    <t>Dell</t>
  </si>
  <si>
    <t>Dell Colombia S.A.S / Bogotá, Colombia / +57 601 508 6400</t>
  </si>
  <si>
    <t>Computador con Intel Core i7, 16GB RAM y SSD de 512GB, alto rendimiento para múltiples tareas.</t>
  </si>
  <si>
    <t>Procesador de alto rendimiento (hasta 4.8 GHz), memoria RAM DDR4 ampliable hasta 64GB, almacenamiento SSD NVMe de alta velocidad, gráficos integrados avanzados, conectividad completa (WiFi 6, Bluetooth), múltiples puertos USB-C y USB 3.1, HDMI, sistema operativo Windows 11 Pro, alta capacidad para multitarea, procesamiento de datos y ejecución de múltiples aplicaciones simultáneamente.</t>
  </si>
  <si>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</si>
  <si>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</si>
  <si>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</si>
  <si>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</si>
  <si>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</si>
  <si>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</si>
  <si>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</si>
  <si>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</si>
  <si>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 xml:space="preserve">Acer </t>
  </si>
  <si>
    <t>Acer Colombia S.A.S / Bogotá / +57 601 587 8000</t>
  </si>
  <si>
    <t>Monitor 19” HD básico</t>
  </si>
  <si>
    <t>CONTADO</t>
  </si>
  <si>
    <t>Resolución 1366x768 px, panel LED estándar, frecuencia de 60 Hz, adecuado para tareas básicas de oficina y navegación.</t>
  </si>
  <si>
    <t>HP Colombia / Bogotá / +57 601 489 0400</t>
  </si>
  <si>
    <t>Monitor 24” Full HD</t>
  </si>
  <si>
    <t>Resolución 1920x1080 px (Full HD), panel IPS, mejor reproducción de colores, frecuencia de 60-75 Hz, ideal para multitarea y uso prolongado.</t>
  </si>
  <si>
    <t>Dell Colombia / Bogotá / +57 601 508 6400</t>
  </si>
  <si>
    <t>Monitor 27” IPS Full HD</t>
  </si>
  <si>
    <t>Resolución 1920x1080 px, panel IPS de alta calidad, mayor ángulo de visión, frecuencia de hasta 75 Hz, diseño ergonómico, ideal para largas jornadas de trabajo.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</si>
  <si>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</si>
  <si>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</si>
  <si>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</si>
  <si>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</si>
  <si>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</si>
  <si>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</si>
  <si>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</si>
  <si>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</si>
  <si>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Kingston</t>
  </si>
  <si>
    <t>Kingston Technology Company / California, USA / +1 714-435-2600</t>
  </si>
  <si>
    <t>Unidad de estado sólido (SSD) de 240GB para almacenamiento básico del sistema operativo y aplicaciones.</t>
  </si>
  <si>
    <t xml:space="preserve">CONTADO </t>
  </si>
  <si>
    <t>Interfaz SATA III, velocidad de lectura hasta 500 MB/s, mejora el arranque del sistema frente a HDD, bajo consumo energético, adecuado para tareas administrativas básicas.</t>
  </si>
  <si>
    <t>Western Digital</t>
  </si>
  <si>
    <t>Digital Corp. / California, USA / +1 949-672-7000</t>
  </si>
  <si>
    <t>Unidad SSD de 500GB para almacenamiento de datos y aplicaciones con mayor velocidad.</t>
  </si>
  <si>
    <t>Interfaz SATA III, velocidad de lectura hasta 560 MB/s, mayor capacidad de almacenamiento, ideal para multitarea y uso continuo, mayor durabilidad que discos mecánicos.</t>
  </si>
  <si>
    <t>Samsung</t>
  </si>
  <si>
    <t>Samsung Electronics / Seúl, Corea del Sur / +82-2-2255-0114</t>
  </si>
  <si>
    <t>Unidad SSD de 1TB de alto rendimiento para almacenamiento masivo y ejecución rápida de aplicaciones.</t>
  </si>
  <si>
    <t>Tecnología NVMe, velocidad de lectura superior a 3000 MB/s, alta eficiencia energética, mayor vida útil, ideal para manejo de grandes volúmenes de datos y alto rendimiento.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</si>
  <si>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</si>
  <si>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</si>
  <si>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</si>
  <si>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</si>
  <si>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</si>
  <si>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</si>
  <si>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</si>
  <si>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</si>
  <si>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Seagate</t>
  </si>
  <si>
    <t>Seagate Technology / USA / +1 800-732-4283 / https://www.seagate.com/</t>
  </si>
  <si>
    <t>Disco duro mecánico (HDD) de 1TB para almacenamiento básico de información.</t>
  </si>
  <si>
    <t>El Kingston A400 SA400S37/240G 240 GB ofrece una transferencia de datos de 550 MB/s en lectura y 490 MB/s en escritura, para un rendimiento óptimo.</t>
  </si>
  <si>
    <t>WD / USA / +1 949-672-7000 / https://www.westerndigital.com/</t>
  </si>
  <si>
    <t>HDD 2TB</t>
  </si>
  <si>
    <t>Mayor capacidad, buena durabilidad.</t>
  </si>
  <si>
    <t>Toshiba</t>
  </si>
  <si>
    <t>Toshiba / Japón / +81-3-3457-4511 / https://www.toshiba.com/</t>
  </si>
  <si>
    <t>HDD 4TB</t>
  </si>
  <si>
    <t>Alta capacidad, uso continuo.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</si>
  <si>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</si>
  <si>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</si>
  <si>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</si>
  <si>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</si>
  <si>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</si>
  <si>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</si>
  <si>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</si>
  <si>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</si>
  <si>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Memoria RAM DDR4 de 4GB para tareas básicas.</t>
  </si>
  <si>
    <t>Frecuencia de 2400 MHz, adecuada para aplicaciones básicas, consumo energético bajo, permite funcionamiento estable del sistema.</t>
  </si>
  <si>
    <t>Corsair</t>
  </si>
  <si>
    <t>Corsair / California, USA / +1 510-657-8747</t>
  </si>
  <si>
    <t>Memoria RAM DDR4 de 8GB para multitarea.</t>
  </si>
  <si>
    <t>Frecuencia de 2666 MHz, mejor rendimiento en múltiples aplicaciones, mayor estabilidad del sistema, recomendable para uso administrativo intensivo.</t>
  </si>
  <si>
    <t>G.Skill</t>
  </si>
  <si>
    <t>G.Skill / Taiwán / +886-2-2766-7889</t>
  </si>
  <si>
    <t>Memoria RAM DDR4 de 16GB de alto rendimiento.</t>
  </si>
  <si>
    <t>Frecuencia de 3200 MHz, alto rendimiento para multitarea avanzada, ideal para aplicaciones exigentes y manejo de grandes volúmenes de datos.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</si>
  <si>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</si>
  <si>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</si>
  <si>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</si>
  <si>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</si>
  <si>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</si>
  <si>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</si>
  <si>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</si>
  <si>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</si>
  <si>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Compulago</t>
  </si>
  <si>
    <t>Compulago / Bogotá, Colombia / +57 601 742 0000 / https://www.compulago.com/</t>
  </si>
  <si>
    <t>Teclado USB Genius SlimStar 230 multimedia.</t>
  </si>
  <si>
    <t>Teclado de membrana, conexión USB, diseño delgado y ergonómico, teclas multimedia, compatible con Windows, ideal para tareas básicas de oficina.</t>
  </si>
  <si>
    <t>Mercado Libre</t>
  </si>
  <si>
    <t>Mercado Libre Colombia / Bogotá, Colombia / +57 601 705 3050 / https://www.mercadolibre.com.co/</t>
  </si>
  <si>
    <t>Teclado mecánico gamer Unitec MK20 retroiluminado.</t>
  </si>
  <si>
    <t>Teclado mecánico con retroiluminación, mayor durabilidad, respuesta rápida, ideal para uso intensivo y largas jornadas de trabajo.</t>
  </si>
  <si>
    <t>Falabella</t>
  </si>
  <si>
    <t>Falabella Colombia / Bogotá, Colombia / +57 601 587 8000 / https://www.falabella.com.co/</t>
  </si>
  <si>
    <t>Teclado Logitech inalámbrico K400 Plus con touchpad integrado.</t>
  </si>
  <si>
    <t>Conexión inalámbrica mediante receptor USB, incluye touchpad, compatible con Windows, Android y Chrome OS, diseño compacto, ideal para comodidad y movilidad.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</si>
  <si>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</si>
  <si>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</si>
  <si>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</si>
  <si>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</si>
  <si>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</si>
  <si>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</si>
  <si>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</si>
  <si>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</si>
  <si>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Genérico</t>
  </si>
  <si>
    <t>Proveedor local / Bogotá / +57 601 0000000</t>
  </si>
  <si>
    <t>Mouse óptico básico</t>
  </si>
  <si>
    <t>Sensor óptico estándar, conexión USB, adecuado para tareas básicas.</t>
  </si>
  <si>
    <t>Logitech</t>
  </si>
  <si>
    <t>Logitech / Suiza / +41-22-761-4000</t>
  </si>
  <si>
    <t>Mouse ergonómico</t>
  </si>
  <si>
    <t>Sensor de alta precisión, diseño ergonómico, conexión inalámbrica o USB.</t>
  </si>
  <si>
    <t>Razer</t>
  </si>
  <si>
    <t>Razer Inc. / Singapur / +65-6500-0000</t>
  </si>
  <si>
    <t>Mouse gamer de alto rendimiento</t>
  </si>
  <si>
    <t>Alta precisión (DPI elevado), iluminación RGB, ideal para uso intensivo.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</si>
  <si>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</si>
  <si>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</si>
  <si>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</si>
  <si>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</si>
  <si>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</si>
  <si>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</si>
  <si>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</si>
  <si>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</si>
  <si>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Lenovo</t>
  </si>
  <si>
    <t>Lenovo Colombia / Bogotá / +57 601 390 5400</t>
  </si>
  <si>
    <t>Servidor básico</t>
  </si>
  <si>
    <t>Uso básico empresarial</t>
  </si>
  <si>
    <t>Servidor intermedio</t>
  </si>
  <si>
    <t>Mayor capacidad de procesamiento</t>
  </si>
  <si>
    <t>Servidor avanzado</t>
  </si>
  <si>
    <t>Alto rendimiento y escalabilidad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</si>
  <si>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</si>
  <si>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</si>
  <si>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</si>
  <si>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</si>
  <si>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</si>
  <si>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</si>
  <si>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</si>
  <si>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</si>
  <si>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Acer Colombia / Bogotá / +57 601 587 8000</t>
  </si>
  <si>
    <t>Portátil con Intel Core i5, 8GB RAM, SSD 256GB.</t>
  </si>
  <si>
    <t>Procesador AMD RYZEN R7 5825U 8 NUCELOS</t>
  </si>
  <si>
    <t>Portátil con Intel Core i7, 16GB RAM, SSD 512GB.</t>
  </si>
  <si>
    <t>Ideal para desarrollo de software y multitarea.</t>
  </si>
  <si>
    <t>Portátil con Intel Core i9, 32GB RAM, SSD 1TB.</t>
  </si>
  <si>
    <t>Alto rendimiento para desarrollo avanzado.</t>
  </si>
  <si>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</si>
  <si>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</si>
  <si>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</si>
  <si>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</si>
  <si>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</si>
  <si>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</si>
  <si>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</si>
  <si>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</si>
  <si>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</si>
  <si>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</si>
  <si>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</si>
  <si>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</si>
  <si>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</si>
  <si>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</si>
  <si>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</si>
  <si>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</si>
  <si>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</si>
  <si>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</si>
  <si>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</si>
  <si>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</si>
  <si>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</si>
  <si>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</si>
  <si>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</si>
  <si>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</si>
  <si>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</si>
  <si>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</si>
  <si>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</si>
  <si>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</si>
  <si>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</si>
  <si>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</si>
  <si>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</si>
  <si>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</si>
  <si>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</si>
  <si>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</si>
  <si>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</si>
  <si>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</si>
  <si>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</si>
  <si>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</si>
  <si>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</si>
  <si>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</si>
  <si>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</si>
  <si>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NVIDIA </t>
  </si>
  <si>
    <t>NVIDIA Corporation / California, USA / +1 408-486-2000 / https://www.nvidia.com/</t>
  </si>
  <si>
    <t>Tarjeta gráfica NVIDIA GTX 1650 de 4GB GDDR6.</t>
  </si>
  <si>
    <t>Memoria de 4GB, arquitectura básica, adecuada para desarrollo ligero y tareas gráficas simples.</t>
  </si>
  <si>
    <t>Tarjeta gráfica NVIDIA RTX 3060 de 12GB.</t>
  </si>
  <si>
    <t>Soporte para ray tracing, alto rendimiento gráfico, ideal para desarrollo de aplicaciones exigentes.</t>
  </si>
  <si>
    <t>Tarjeta gráfica NVIDIA RTX 4070 de 12GB GDDR6X.</t>
  </si>
  <si>
    <t>Alto rendimiento, soporte avanzado para IA y renderizado, ideal para desarrollo profesional y proyectos complejos.</t>
  </si>
  <si>
    <t>Kingston Technology Company / California, USA / +1 714-435-2603</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</si>
  <si>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</si>
  <si>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</si>
  <si>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</si>
  <si>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</si>
  <si>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</si>
  <si>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</si>
  <si>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</si>
  <si>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</si>
  <si>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Intel</t>
  </si>
  <si>
    <t>Intel Corporation / California, USA / +1 408-765-8080 / https://www.intel.com/</t>
  </si>
  <si>
    <t>Procesador Intel Core i5 (10ª–11ª generación).</t>
  </si>
  <si>
    <t>6 núcleos, velocidad hasta 4.2 GHz, adecuado para desarrollo básico y multitarea moderada.</t>
  </si>
  <si>
    <t>Procesador Intel Core i7 (11ª–12ª generación).</t>
  </si>
  <si>
    <t>9 núcleos, alto rendimiento, ideal para desarrollo de software y ejecución de múltiples procesos.</t>
  </si>
  <si>
    <t>Procesador Intel Core i9 (12ª–13ª generación).</t>
  </si>
  <si>
    <t>12+ núcleos, alto rendimiento extremo, ideal para desarrollo avanzado, compilaciones y procesamiento intensivo.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</si>
  <si>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</si>
  <si>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</si>
  <si>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</si>
  <si>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</si>
  <si>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</si>
  <si>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</si>
  <si>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</si>
  <si>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</si>
  <si>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FALABELLA </t>
  </si>
  <si>
    <t>Falabella Colombia / Bogotá / +57 601 / https://www.falabella.com.co/</t>
  </si>
  <si>
    <t>Teclado Logitech Inalámbrico K400 Plus con touch pad para TV. Apto para TV y PC</t>
  </si>
  <si>
    <t>Funciona con Windows 7, Windows 8, Windows 10 o posteriores, Android 7.0 o posteriores, Chrome OS - Puerto USB - Conexión a Internet (para descarga de software opcional)</t>
  </si>
  <si>
    <t xml:space="preserve">MERCADO LIBRE </t>
  </si>
  <si>
    <t>https://www.mercadolibre.com.co/teclado-mecanico-gamer-unitec-mk20-retroiluminado-color-del-teclado-plateado/p/MCO23026811?pdp_filters=item_id:MCO1366192149#is_advertising=true&amp;searchVariation=MCO23026811&amp;position=1&amp;search_layout=stack&amp;type=pad&amp;tracking_id=0694a9e8-3b57-4bb8-af1f-b5fae4bf605b&amp;is_advertising=true&amp;ad_domain=VQCATCORE_LST&amp;ad_position=1&amp;ad_click_id=YjRlZTZiMmUtNzVkYS00NDYyLWJjMmUtNzBmZjkzNTY3Yzlj</t>
  </si>
  <si>
    <t>Teclado Mecánico Gamer Unitec Mk20 Retroiluminado Color del teclado Plateado</t>
  </si>
  <si>
    <t>Este teclado Unitec de alto rendimiento permite que puedas disfrutar de horas ilimitadas de juegos. Está diseñado especialmente para que puedas expresar tanto tus habilidades como tu estilo. Podrás mejorar tu experiencia de gaming</t>
  </si>
  <si>
    <t xml:space="preserve">COMPULAGO </t>
  </si>
  <si>
    <t>https://www.compulago.com/producto/teclado-usb-genius-slimstar-230-multimedia-362702337905/</t>
  </si>
  <si>
    <t>TECLADO USB GENIUS SLIMSTAR 230 MULTIMEDIA</t>
  </si>
  <si>
    <t>Referencia SlimStar 230</t>
  </si>
  <si>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</si>
  <si>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</si>
  <si>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</si>
  <si>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</si>
  <si>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</si>
  <si>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</si>
  <si>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</si>
  <si>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</si>
  <si>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</si>
  <si>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</si>
  <si>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</si>
  <si>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</si>
  <si>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</si>
  <si>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</si>
  <si>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</si>
  <si>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</si>
  <si>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</si>
  <si>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Microsoft</t>
  </si>
  <si>
    <t>Microsoft Colombia / Bogotá / +57 601 587 0300 /</t>
  </si>
  <si>
    <t>Visual Studio Community</t>
  </si>
  <si>
    <t>Gratuito, ideal para estudiantes y proyectos pequeños.</t>
  </si>
  <si>
    <t>Visual Studio Professional</t>
  </si>
  <si>
    <t>Microsoft / Microsoft Colombia S.A.S / Bogotá, Colombia / +57 601 587 0300 / https://www.microsoft.com/</t>
  </si>
  <si>
    <t>Herramientas profesionales para desarrollo.</t>
  </si>
  <si>
    <t>Licencia de Visual Studio Professional, entorno de desarrollo integrado (IDE) para la creación de aplicaciones web, móviles y de escritorio. Incluye herramientas de depuración, pruebas, control de versiones, integración con Git, soporte para múltiples lenguajes como C#, JavaScript y Python, y acceso a servicios en la nube para desarrollo colaborativo.</t>
  </si>
  <si>
    <t>Visual Studio Enterprise</t>
  </si>
  <si>
    <t>Solución completa para desarrollo empresarial.</t>
  </si>
  <si>
    <t>Licencia de Visual Studio Enterprise, solución avanzada de desarrollo que incluye herramientas completas para pruebas automatizadas, análisis de código, integración continua, gestión de proyectos, desarrollo colaborativo y alta escalabilidad. Orientado a equipos profesionales y proyectos empresariales de gran complejidad.</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</si>
  <si>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</si>
  <si>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</si>
  <si>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</si>
  <si>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</si>
  <si>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</si>
  <si>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</si>
  <si>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</si>
  <si>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</si>
  <si>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Windows 11 Home</t>
  </si>
  <si>
    <t>Sistema operativo básico, adecuado para uso general.</t>
  </si>
  <si>
    <t>Windows 11 Pro</t>
  </si>
  <si>
    <t>Incluye funciones empresariales y mayor seguridad.</t>
  </si>
  <si>
    <t>Windows 11 Enterprise</t>
  </si>
  <si>
    <t>Alta seguridad, gestión avanzada de dispositivos.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</si>
  <si>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</si>
  <si>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</si>
  <si>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</si>
  <si>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</si>
  <si>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</si>
  <si>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</si>
  <si>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</si>
  <si>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</si>
  <si>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SQL Server Express</t>
  </si>
  <si>
    <t>Versión gratuita, limitada para proyectos pequeños.</t>
  </si>
  <si>
    <t>SQL Server Standard</t>
  </si>
  <si>
    <t>Uso empresarial, mayor capacidad de datos.</t>
  </si>
  <si>
    <t>SQL Server Enterprise</t>
  </si>
  <si>
    <t>Alta disponibilidad, rendimiento avanzado.</t>
  </si>
  <si>
    <t xml:space="preserve">             </t>
  </si>
  <si>
    <t xml:space="preserve">                                                                     Justificacion</t>
  </si>
  <si>
    <t>Se selecciona el proveedor Nº 1 debido a que presenta la propuesta más económica dentro del cuadro comparativo, 
con un valor total significativamente inferior frente a las demás alternativas. Esta opción permite optimizar los recursos 
financieros disponibles sin comprometer los requerimientos técnicos necesarios para el desarrollo del proyecto.
Adicionalmente, el equipo ofertado cumple con las especificaciones básicas requeridas, tales como capacidad de 
procesamiento, memoria RAM y almacenamiento, lo cual garantiza un rendimiento adecuado para tareas administrativas
y de desarrollo de software. Esto asegura que el sistema podrá operar de manera estable y eficiente durante su implementación.
En consecuencia, la elección del proveedor Nº 1 representa la mejor relación costo-beneficio, ya que permite cubrir 
las necesidades del proyecto manteniendo un equilibrio entre calidad y presupuesto.</t>
  </si>
  <si>
    <t xml:space="preserve">                       Costos</t>
  </si>
  <si>
    <t>Total Nº 1</t>
  </si>
  <si>
    <t>Total Nº 2</t>
  </si>
  <si>
    <t>Total Nº 3</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</si>
</sst>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_-;\-[$$-240A]\ * #,##0_-;_-[$$-240A]\ * &quot;-&quot;??_-;_-@"/>
    <numFmt numFmtId="165" formatCode="_-[$$-409]* #,##0.00_ ;_-[$$-409]* \-#,##0.00\ ;_-[$$-409]* &quot;-&quot;??_ ;_-@_ "/>
    <numFmt numFmtId="166" formatCode="_-[$$-409]* #,##0_ ;_-[$$-409]* \-#,##0\ ;_-[$$-409]* &quot;-&quot;??_ ;_-@_ "/>
    <numFmt numFmtId="167" formatCode="_-[$$-240A]\ * #,##0.00_-;\-[$$-240A]\ * #,##0.00_-;_-[$$-240A]\ * &quot;-&quot;??_-;_-@"/>
    <numFmt numFmtId="168" formatCode="_([$$-409]* #,##0_);_([$$-409]* \(#,##0\);_([$$-409]* &quot;-&quot;??_);_(@_)"/>
    <numFmt numFmtId="169" formatCode="_([$$-409]* #,##0.00_);_([$$-409]* \(#,##0.00\);_([$$-409]* &quot;-&quot;??_);_(@_)"/>
    <numFmt numFmtId="170" formatCode="_(&quot;$&quot;* #,##0_);_(&quot;$&quot;* \(#,##0\);_(&quot;$&quot;* &quot;-&quot;??_);_(@_)"/>
  </numFmts>
  <fonts count="35">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sz val="10.0"/>
      <color theme="10"/>
      <name val="Arial"/>
    </font>
    <font>
      <sz val="10.0"/>
      <color rgb="FF000000"/>
      <name val="Arial"/>
    </font>
    <font>
      <sz val="10.0"/>
      <color rgb="FF4A4A4A"/>
      <name val="Arial"/>
    </font>
    <font>
      <sz val="10.0"/>
      <color theme="1"/>
      <name val="Trebuchet MS"/>
    </font>
    <font>
      <sz val="10.0"/>
      <color theme="1"/>
      <name val="Proxima Nova"/>
    </font>
    <font>
      <sz val="10.0"/>
      <color rgb="FF231F20"/>
      <name val="Trebuchet MS"/>
    </font>
    <font>
      <sz val="10.0"/>
      <color rgb="FF3C4B71"/>
      <name val="Arial"/>
    </font>
    <font>
      <sz val="10.0"/>
      <color theme="1"/>
      <name val="Open Sans"/>
    </font>
    <font>
      <sz val="10.0"/>
      <color rgb="FF222222"/>
      <name val="Open Sans"/>
    </font>
    <font>
      <sz val="10.0"/>
      <color theme="1"/>
      <name val="Arial Narrow"/>
    </font>
    <font>
      <b/>
      <u/>
      <sz val="10.0"/>
      <color theme="1"/>
      <name val="Arial"/>
    </font>
    <font>
      <u/>
      <sz val="10.0"/>
      <color theme="10"/>
      <name val="Arial"/>
    </font>
    <font>
      <u/>
      <sz val="10.0"/>
      <color theme="10"/>
      <name val="Arial"/>
    </font>
    <font>
      <sz val="10.0"/>
      <color rgb="FF444444"/>
      <name val="Arial"/>
    </font>
    <font>
      <u/>
      <sz val="10.0"/>
      <color theme="10"/>
      <name val="Arial"/>
    </font>
    <font>
      <u/>
      <sz val="10.0"/>
      <color rgb="FF000000"/>
      <name val="Arial"/>
    </font>
    <font>
      <b/>
      <u/>
      <sz val="10.0"/>
      <color theme="1"/>
      <name val="Trebuchet MS"/>
    </font>
    <font>
      <sz val="10.0"/>
      <color rgb="FF231F20"/>
      <name val="Arial"/>
    </font>
    <font>
      <sz val="10.0"/>
      <color rgb="FF333333"/>
      <name val="Arial"/>
    </font>
    <font>
      <u/>
      <sz val="10.0"/>
      <color theme="10"/>
      <name val="Arial"/>
    </font>
    <font>
      <sz val="10.0"/>
      <color rgb="FF0F1111"/>
      <name val="Arial"/>
    </font>
    <font>
      <color theme="1"/>
      <name val="Arial"/>
      <scheme val="minor"/>
    </font>
    <font>
      <u/>
      <sz val="10.0"/>
      <color theme="1"/>
      <name val="Arial"/>
    </font>
    <font>
      <sz val="9.0"/>
      <color theme="1"/>
      <name val="Arial"/>
    </font>
    <font>
      <u/>
      <sz val="10.0"/>
      <color theme="1"/>
      <name val="Arial"/>
    </font>
    <font>
      <u/>
      <sz val="9.0"/>
      <color theme="1"/>
      <name val="Arial"/>
    </font>
  </fonts>
  <fills count="9">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10" numFmtId="0" xfId="0" applyAlignment="1" applyBorder="1" applyFill="1" applyFont="1">
      <alignment horizontal="center" shrinkToFit="0" vertical="center" wrapText="1"/>
    </xf>
    <xf borderId="4" fillId="6" fontId="11" numFmtId="164" xfId="0" applyAlignment="1" applyBorder="1" applyFont="1" applyNumberFormat="1">
      <alignment horizontal="center" shrinkToFit="0" vertical="center" wrapText="1"/>
    </xf>
    <xf borderId="4" fillId="0" fontId="8" numFmtId="164" xfId="0" applyAlignment="1" applyBorder="1" applyFont="1" applyNumberFormat="1">
      <alignment horizontal="center" shrinkToFit="0" vertical="center" wrapText="1"/>
    </xf>
    <xf borderId="4" fillId="0" fontId="1" numFmtId="164" xfId="0" applyAlignment="1" applyBorder="1" applyFont="1" applyNumberFormat="1">
      <alignment horizontal="center" shrinkToFit="0" vertical="center" wrapText="1"/>
    </xf>
    <xf borderId="4" fillId="0" fontId="8" numFmtId="165" xfId="0" applyAlignment="1" applyBorder="1" applyFont="1" applyNumberFormat="1">
      <alignment horizontal="center" shrinkToFit="0" vertical="center" wrapText="1"/>
    </xf>
    <xf borderId="4" fillId="0" fontId="12" numFmtId="0" xfId="0" applyAlignment="1" applyBorder="1" applyFont="1">
      <alignment horizontal="center" shrinkToFit="0" vertical="center" wrapText="1"/>
    </xf>
    <xf borderId="6" fillId="6" fontId="13"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4" fillId="6" fontId="15" numFmtId="0" xfId="0" applyAlignment="1" applyBorder="1" applyFont="1">
      <alignment horizontal="center" shrinkToFit="0" vertical="center" wrapText="1"/>
    </xf>
    <xf borderId="6" fillId="6" fontId="16" numFmtId="0" xfId="0" applyAlignment="1" applyBorder="1" applyFont="1">
      <alignment horizontal="center" shrinkToFit="0" vertical="center" wrapText="1"/>
    </xf>
    <xf borderId="4" fillId="6" fontId="17" numFmtId="0" xfId="0" applyAlignment="1" applyBorder="1" applyFont="1">
      <alignment horizontal="center" shrinkToFit="0" vertical="center" wrapText="1"/>
    </xf>
    <xf borderId="4" fillId="0" fontId="1" numFmtId="0" xfId="0" applyBorder="1" applyFont="1"/>
    <xf borderId="4" fillId="0" fontId="12" numFmtId="0" xfId="0" applyAlignment="1" applyBorder="1" applyFont="1">
      <alignment horizontal="left" shrinkToFit="0" vertical="top" wrapText="1"/>
    </xf>
    <xf borderId="0" fillId="0" fontId="10" numFmtId="0" xfId="0" applyFont="1"/>
    <xf borderId="0" fillId="0" fontId="4" numFmtId="0" xfId="0" applyAlignment="1" applyFont="1">
      <alignment horizontal="left" shrinkToFit="0" vertical="center" wrapText="1"/>
    </xf>
    <xf borderId="0" fillId="0" fontId="18" numFmtId="0" xfId="0" applyAlignment="1" applyFont="1">
      <alignment horizontal="center" shrinkToFit="0" vertical="center" wrapText="1"/>
    </xf>
    <xf borderId="4" fillId="0" fontId="4" numFmtId="0" xfId="0" applyAlignment="1" applyBorder="1" applyFont="1">
      <alignment horizontal="center" shrinkToFit="0" vertical="center" wrapText="1"/>
    </xf>
    <xf borderId="4" fillId="4" fontId="1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7" fillId="0" fontId="20" numFmtId="0" xfId="0" applyAlignment="1" applyBorder="1" applyFont="1">
      <alignment shrinkToFit="0" vertical="center" wrapText="1"/>
    </xf>
    <xf borderId="4" fillId="0" fontId="10" numFmtId="0" xfId="0" applyAlignment="1" applyBorder="1" applyFont="1">
      <alignment horizontal="center" shrinkToFit="0" vertical="center" wrapText="1"/>
    </xf>
    <xf borderId="4" fillId="6" fontId="10" numFmtId="165" xfId="0" applyAlignment="1" applyBorder="1" applyFont="1" applyNumberFormat="1">
      <alignment horizontal="center" shrinkToFit="0" vertical="center" wrapText="1"/>
    </xf>
    <xf borderId="4" fillId="6" fontId="10" numFmtId="0" xfId="0" applyAlignment="1" applyBorder="1" applyFont="1">
      <alignment shrinkToFit="0" vertical="center" wrapText="1"/>
    </xf>
    <xf borderId="4" fillId="6" fontId="21" numFmtId="0" xfId="0" applyAlignment="1" applyBorder="1" applyFont="1">
      <alignment horizontal="center" shrinkToFit="0" vertical="center" wrapText="1"/>
    </xf>
    <xf borderId="6" fillId="6" fontId="22" numFmtId="0" xfId="0" applyAlignment="1" applyBorder="1" applyFont="1">
      <alignment horizontal="center" shrinkToFit="0" vertical="center" wrapText="1"/>
    </xf>
    <xf borderId="4" fillId="7" fontId="22" numFmtId="0" xfId="0" applyAlignment="1" applyBorder="1" applyFill="1" applyFont="1">
      <alignment shrinkToFit="0" vertical="center" wrapText="1"/>
    </xf>
    <xf borderId="4" fillId="0" fontId="23" numFmtId="0" xfId="0" applyAlignment="1" applyBorder="1" applyFont="1">
      <alignment horizontal="center" shrinkToFit="0" vertical="center" wrapText="1"/>
    </xf>
    <xf borderId="4" fillId="6" fontId="22" numFmtId="0" xfId="0" applyAlignment="1" applyBorder="1" applyFont="1">
      <alignment horizontal="center" shrinkToFit="0" vertical="center" wrapText="1"/>
    </xf>
    <xf borderId="4" fillId="6" fontId="24" numFmtId="165" xfId="0" applyAlignment="1" applyBorder="1" applyFont="1" applyNumberFormat="1">
      <alignment horizontal="center"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5"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4" fillId="6" fontId="10" numFmtId="0" xfId="0" applyAlignment="1" applyBorder="1" applyFont="1">
      <alignment horizontal="center" shrinkToFit="0" wrapText="1"/>
    </xf>
    <xf borderId="4" fillId="0" fontId="26" numFmtId="0" xfId="0" applyAlignment="1" applyBorder="1" applyFont="1">
      <alignment horizontal="center" shrinkToFit="0" vertical="center" wrapText="1"/>
    </xf>
    <xf borderId="4" fillId="6" fontId="27" numFmtId="0" xfId="0" applyAlignment="1" applyBorder="1" applyFont="1">
      <alignment horizontal="center" shrinkToFit="0" vertical="center" wrapText="1"/>
    </xf>
    <xf borderId="4" fillId="6" fontId="27" numFmtId="0" xfId="0" applyAlignment="1" applyBorder="1" applyFont="1">
      <alignment horizontal="center" shrinkToFit="0" wrapText="1"/>
    </xf>
    <xf borderId="4" fillId="0" fontId="10" numFmtId="0" xfId="0" applyAlignment="1" applyBorder="1" applyFont="1">
      <alignment shrinkToFit="0" vertical="center" wrapText="1"/>
    </xf>
    <xf borderId="7" fillId="0" fontId="1" numFmtId="0" xfId="0" applyBorder="1" applyFont="1"/>
    <xf borderId="7" fillId="0" fontId="10" numFmtId="0" xfId="0" applyAlignment="1" applyBorder="1" applyFont="1">
      <alignment horizontal="center" shrinkToFit="0" vertical="center" wrapText="1"/>
    </xf>
    <xf borderId="7" fillId="0" fontId="10" numFmtId="0" xfId="0" applyAlignment="1" applyBorder="1" applyFont="1">
      <alignment shrinkToFit="0" vertical="center" wrapText="1"/>
    </xf>
    <xf borderId="7" fillId="0" fontId="10" numFmtId="3" xfId="0" applyAlignment="1" applyBorder="1" applyFont="1" applyNumberFormat="1">
      <alignment horizontal="center" shrinkToFit="0" vertical="center" wrapText="1"/>
    </xf>
    <xf borderId="7" fillId="0" fontId="1" numFmtId="0" xfId="0" applyAlignment="1" applyBorder="1" applyFont="1">
      <alignment horizontal="left" shrinkToFit="0" vertical="top" wrapText="1"/>
    </xf>
    <xf borderId="0" fillId="0" fontId="10" numFmtId="0" xfId="0" applyAlignment="1" applyFont="1">
      <alignment horizontal="center" shrinkToFit="0" vertical="center" wrapText="1"/>
    </xf>
    <xf borderId="1" fillId="0" fontId="4" numFmtId="0" xfId="0" applyAlignment="1" applyBorder="1" applyFont="1">
      <alignment horizontal="center" vertical="center"/>
    </xf>
    <xf borderId="4" fillId="6"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10" fillId="0" fontId="12" numFmtId="0" xfId="0" applyAlignment="1" applyBorder="1" applyFont="1">
      <alignment horizontal="left" shrinkToFit="0" vertical="top" wrapText="1"/>
    </xf>
    <xf borderId="4" fillId="0" fontId="1" numFmtId="166" xfId="0" applyAlignment="1" applyBorder="1" applyFont="1" applyNumberFormat="1">
      <alignment horizontal="center" shrinkToFit="0" vertical="center" wrapText="1"/>
    </xf>
    <xf borderId="4" fillId="6"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1" fillId="0" fontId="4" numFmtId="0" xfId="0" applyAlignment="1" applyBorder="1" applyFont="1">
      <alignment horizontal="center" vertical="center"/>
    </xf>
    <xf borderId="4" fillId="6" fontId="27" numFmtId="0" xfId="0" applyAlignment="1" applyBorder="1" applyFont="1">
      <alignment shrinkToFit="0" vertical="center" wrapText="1"/>
    </xf>
    <xf borderId="7" fillId="0" fontId="28" numFmtId="0" xfId="0" applyAlignment="1" applyBorder="1" applyFont="1">
      <alignment horizontal="center" shrinkToFit="0" vertical="center" wrapText="1"/>
    </xf>
    <xf borderId="8" fillId="6" fontId="22" numFmtId="0" xfId="0" applyAlignment="1" applyBorder="1" applyFont="1">
      <alignment horizontal="center" shrinkToFit="0" vertical="center" wrapText="1"/>
    </xf>
    <xf borderId="8" fillId="6" fontId="1" numFmtId="164" xfId="0" applyAlignment="1" applyBorder="1" applyFont="1" applyNumberFormat="1">
      <alignment horizontal="center" shrinkToFit="0" vertical="center" wrapText="1"/>
    </xf>
    <xf borderId="7" fillId="0" fontId="10" numFmtId="164" xfId="0" applyAlignment="1" applyBorder="1" applyFont="1" applyNumberFormat="1">
      <alignment horizontal="center" shrinkToFit="0" vertical="center" wrapText="1"/>
    </xf>
    <xf borderId="4" fillId="0" fontId="10" numFmtId="0" xfId="0" applyAlignment="1" applyBorder="1" applyFont="1">
      <alignment horizontal="center" vertical="center"/>
    </xf>
    <xf borderId="4" fillId="0" fontId="10" numFmtId="0" xfId="0" applyAlignment="1" applyBorder="1" applyFont="1">
      <alignment horizontal="left" shrinkToFit="0" vertical="center" wrapText="1"/>
    </xf>
    <xf borderId="0" fillId="0" fontId="10" numFmtId="167" xfId="0" applyAlignment="1" applyFont="1" applyNumberFormat="1">
      <alignment horizontal="center" shrinkToFit="0" vertical="center" wrapText="1"/>
    </xf>
    <xf borderId="0" fillId="0" fontId="1" numFmtId="0" xfId="0" applyAlignment="1" applyFont="1">
      <alignment horizontal="left" shrinkToFit="0" vertical="top" wrapText="1"/>
    </xf>
    <xf borderId="4" fillId="0" fontId="1" numFmtId="168" xfId="0" applyAlignment="1" applyBorder="1" applyFont="1" applyNumberFormat="1">
      <alignment horizontal="center" shrinkToFit="0" vertical="center" wrapText="1"/>
    </xf>
    <xf borderId="5" fillId="6" fontId="10" numFmtId="165" xfId="0" applyAlignment="1" applyBorder="1" applyFont="1" applyNumberFormat="1">
      <alignment horizontal="center" shrinkToFit="0" vertical="center" wrapText="1"/>
    </xf>
    <xf borderId="6" fillId="6" fontId="10" numFmtId="0" xfId="0" applyAlignment="1" applyBorder="1" applyFont="1">
      <alignment horizontal="center" shrinkToFit="0" vertical="center" wrapText="1"/>
    </xf>
    <xf borderId="6" fillId="6" fontId="29" numFmtId="0" xfId="0" applyAlignment="1" applyBorder="1" applyFont="1">
      <alignment horizontal="center" shrinkToFit="0" vertical="center" wrapText="1"/>
    </xf>
    <xf borderId="6" fillId="6" fontId="1" numFmtId="0" xfId="0" applyAlignment="1" applyBorder="1" applyFont="1">
      <alignment horizontal="center" shrinkToFit="0" vertical="center" wrapText="1"/>
    </xf>
    <xf borderId="0" fillId="0" fontId="30" numFmtId="0" xfId="0" applyFont="1"/>
    <xf borderId="4" fillId="0" fontId="1" numFmtId="0" xfId="0" applyAlignment="1" applyBorder="1" applyFont="1">
      <alignment horizontal="center" shrinkToFit="0" vertical="center" wrapText="1"/>
    </xf>
    <xf borderId="4" fillId="6" fontId="1" numFmtId="164" xfId="0" applyAlignment="1" applyBorder="1" applyFont="1" applyNumberFormat="1">
      <alignment horizontal="center" shrinkToFit="0" vertical="center" wrapText="1"/>
    </xf>
    <xf borderId="4" fillId="6" fontId="1" numFmtId="165" xfId="0" applyAlignment="1" applyBorder="1" applyFont="1" applyNumberFormat="1">
      <alignment horizontal="center" shrinkToFit="0" vertical="center" wrapText="1"/>
    </xf>
    <xf borderId="4" fillId="7" fontId="1" numFmtId="0" xfId="0" applyAlignment="1" applyBorder="1" applyFont="1">
      <alignment horizontal="center" shrinkToFit="0" vertical="center" wrapText="1"/>
    </xf>
    <xf borderId="4" fillId="6" fontId="31" numFmtId="165" xfId="0" applyAlignment="1" applyBorder="1" applyFont="1" applyNumberFormat="1">
      <alignment horizontal="center" shrinkToFit="0" vertical="center" wrapText="1"/>
    </xf>
    <xf borderId="4" fillId="6" fontId="1" numFmtId="0" xfId="0" applyAlignment="1" applyBorder="1" applyFont="1">
      <alignment horizontal="center" shrinkToFit="0" wrapText="1"/>
    </xf>
    <xf borderId="4" fillId="6" fontId="1" numFmtId="167" xfId="0" applyAlignment="1" applyBorder="1" applyFont="1" applyNumberFormat="1">
      <alignment horizontal="center" shrinkToFit="0" vertical="center" wrapText="1"/>
    </xf>
    <xf borderId="4" fillId="0" fontId="1" numFmtId="167" xfId="0" applyAlignment="1" applyBorder="1" applyFont="1" applyNumberFormat="1">
      <alignment horizontal="center" shrinkToFit="0" vertical="center" wrapText="1"/>
    </xf>
    <xf borderId="4" fillId="0" fontId="1" numFmtId="169" xfId="0" applyAlignment="1" applyBorder="1" applyFont="1" applyNumberFormat="1">
      <alignment horizontal="center" shrinkToFit="0" vertical="center" wrapText="1"/>
    </xf>
    <xf borderId="4" fillId="0" fontId="32" numFmtId="0" xfId="0" applyAlignment="1" applyBorder="1" applyFont="1">
      <alignment horizontal="center" shrinkToFit="0" vertical="center" wrapText="1"/>
    </xf>
    <xf borderId="4" fillId="0" fontId="1" numFmtId="0" xfId="0" applyAlignment="1" applyBorder="1" applyFont="1">
      <alignment horizontal="center" shrinkToFit="0" vertical="top" wrapText="1"/>
    </xf>
    <xf borderId="4" fillId="0" fontId="33" numFmtId="0" xfId="0" applyAlignment="1" applyBorder="1" applyFont="1">
      <alignment horizontal="center" shrinkToFit="0" vertical="center" wrapText="1"/>
    </xf>
    <xf borderId="4" fillId="0" fontId="32" numFmtId="170" xfId="0" applyAlignment="1" applyBorder="1" applyFont="1" applyNumberFormat="1">
      <alignment horizontal="center" shrinkToFit="0" vertical="center" wrapText="1"/>
    </xf>
    <xf borderId="4" fillId="0" fontId="1" numFmtId="170" xfId="0" applyAlignment="1" applyBorder="1" applyFont="1" applyNumberFormat="1">
      <alignment horizontal="center" shrinkToFit="0" vertical="center" wrapText="1"/>
    </xf>
    <xf borderId="4" fillId="8" fontId="32" numFmtId="0" xfId="0" applyAlignment="1" applyBorder="1" applyFill="1" applyFont="1">
      <alignment horizontal="center" shrinkToFit="0" vertical="center" wrapText="1"/>
    </xf>
    <xf borderId="4" fillId="0" fontId="34" numFmtId="0" xfId="0" applyAlignment="1" applyBorder="1" applyFont="1">
      <alignment horizontal="center" shrinkToFit="0" vertical="center" wrapText="1"/>
    </xf>
    <xf borderId="4" fillId="0" fontId="1" numFmtId="0" xfId="0" applyAlignment="1" applyBorder="1" applyFont="1">
      <alignment shrinkToFit="0" vertical="center" wrapText="1"/>
    </xf>
    <xf borderId="4" fillId="6" fontId="1" numFmtId="0" xfId="0" applyAlignment="1" applyBorder="1" applyFont="1">
      <alignment shrinkToFit="0" vertical="center" wrapText="1"/>
    </xf>
    <xf borderId="0" fillId="0" fontId="30" numFmtId="0" xfId="0" applyAlignment="1" applyFont="1">
      <alignment readingOrder="0"/>
    </xf>
    <xf borderId="12" fillId="0" fontId="30" numFmtId="0" xfId="0" applyAlignment="1" applyBorder="1" applyFont="1">
      <alignment readingOrder="0"/>
    </xf>
    <xf borderId="3" fillId="0" fontId="30" numFmtId="0" xfId="0" applyAlignment="1" applyBorder="1" applyFont="1">
      <alignment readingOrder="0"/>
    </xf>
    <xf borderId="4" fillId="0" fontId="30" numFmtId="0" xfId="0" applyBorder="1" applyFont="1"/>
    <xf borderId="1" fillId="0" fontId="30" numFmtId="0" xfId="0" applyBorder="1" applyFont="1"/>
    <xf borderId="13" fillId="0" fontId="30" numFmtId="0" xfId="0" applyBorder="1" applyFont="1"/>
    <xf borderId="3" fillId="0" fontId="30" numFmtId="0" xfId="0" applyBorder="1" applyFont="1"/>
    <xf borderId="0" fillId="0" fontId="30" numFmtId="3" xfId="0" applyAlignment="1" applyFont="1" applyNumberFormat="1">
      <alignment readingOrder="0"/>
    </xf>
    <xf borderId="10" fillId="0" fontId="30" numFmtId="0" xfId="0" applyAlignment="1" applyBorder="1" applyFont="1">
      <alignment readingOrder="0"/>
    </xf>
    <xf borderId="10" fillId="0" fontId="30" numFmtId="0" xfId="0" applyBorder="1" applyFont="1"/>
    <xf borderId="4" fillId="0" fontId="30" numFmtId="0" xfId="0" applyAlignment="1" applyBorder="1" applyFont="1">
      <alignment readingOrder="0"/>
    </xf>
    <xf borderId="4" fillId="0" fontId="30" numFmtId="3"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falabella.com.co/falabella-co/product/3032470/Teclado-Logitech-Inalambrico-K400-Plus-con-touch-pad-para-TV.-Apto-para-TV-y-PC/3032470" TargetMode="External"/><Relationship Id="rId2" Type="http://schemas.openxmlformats.org/officeDocument/2006/relationships/hyperlink" Target="https://www.falabella.com.co/falabella-co/product/3032470/Teclado-Logitech-Inalambrico-K400-Plus-con-touch-pad-para-TV.-Apto-para-TV-y-PC/3032470" TargetMode="External"/><Relationship Id="rId3" Type="http://schemas.openxmlformats.org/officeDocument/2006/relationships/hyperlink" Target="https://www.falabella.com.co/falabella-co/product/3032470/Teclado-Logitech-Inalambrico-K400-Plus-con-touch-pad-para-TV.-Apto-para-TV-y-PC/3032470"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falabella.com.co/falabella-co/product/3032470/Teclado-Logitech-Inalambrico-K400-Plus-con-touch-pad-para-TV.-Apto-para-TV-y-PC/3032470" TargetMode="External"/><Relationship Id="rId2" Type="http://schemas.openxmlformats.org/officeDocument/2006/relationships/hyperlink" Target="https://www.mercadolibre.com.co/teclado-mecanico-gamer-unitec-mk20-retroiluminado-color-del-teclado-plateado/p/MCO23026811?pdp_filters=item_id:MCO1366192149" TargetMode="External"/><Relationship Id="rId3" Type="http://schemas.openxmlformats.org/officeDocument/2006/relationships/hyperlink" Target="https://www.compulago.com/producto/teclado-usb-genius-slimstar-230-multimedia-362702337905/"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7" t="s">
        <v>3</v>
      </c>
      <c r="C7" s="7" t="s">
        <v>4</v>
      </c>
      <c r="D7" s="7" t="s">
        <v>5</v>
      </c>
      <c r="E7" s="7" t="s">
        <v>6</v>
      </c>
      <c r="F7" s="8" t="s">
        <v>7</v>
      </c>
      <c r="G7" s="9" t="s">
        <v>8</v>
      </c>
      <c r="H7" s="7" t="s">
        <v>9</v>
      </c>
      <c r="I7" s="7" t="s">
        <v>10</v>
      </c>
      <c r="J7" s="7" t="s">
        <v>11</v>
      </c>
      <c r="K7" s="10"/>
      <c r="L7" s="10"/>
      <c r="M7" s="10"/>
      <c r="N7" s="10"/>
      <c r="O7" s="10"/>
      <c r="P7" s="10"/>
      <c r="Q7" s="10"/>
      <c r="R7" s="10"/>
      <c r="S7" s="10"/>
      <c r="T7" s="10"/>
      <c r="U7" s="10"/>
      <c r="V7" s="10"/>
      <c r="W7" s="10"/>
      <c r="X7" s="10"/>
      <c r="Y7" s="10"/>
      <c r="Z7" s="10"/>
    </row>
    <row r="8">
      <c r="A8" s="11" t="s">
        <v>12</v>
      </c>
      <c r="B8" s="12" t="s">
        <v>13</v>
      </c>
      <c r="C8" s="13" t="s">
        <v>14</v>
      </c>
      <c r="D8" s="14" t="s">
        <v>15</v>
      </c>
      <c r="E8" s="15">
        <v>1200000.0</v>
      </c>
      <c r="F8" s="16">
        <f t="shared" ref="F8:F10" si="1">E8*1.19</f>
        <v>1428000</v>
      </c>
      <c r="G8" s="17">
        <v>300.0</v>
      </c>
      <c r="H8" s="18" t="s">
        <v>16</v>
      </c>
      <c r="I8" s="19" t="s">
        <v>17</v>
      </c>
      <c r="J8" s="20" t="s">
        <v>18</v>
      </c>
    </row>
    <row r="9" ht="305.25" customHeight="1">
      <c r="A9" s="11" t="s">
        <v>19</v>
      </c>
      <c r="B9" s="21" t="s">
        <v>20</v>
      </c>
      <c r="C9" s="13" t="s">
        <v>21</v>
      </c>
      <c r="D9" s="22" t="s">
        <v>22</v>
      </c>
      <c r="E9" s="15">
        <v>2200000.0</v>
      </c>
      <c r="F9" s="16">
        <f t="shared" si="1"/>
        <v>2618000</v>
      </c>
      <c r="G9" s="17">
        <v>550.0</v>
      </c>
      <c r="H9" s="18" t="s">
        <v>16</v>
      </c>
      <c r="I9" s="19" t="s">
        <v>17</v>
      </c>
      <c r="J9" s="23" t="s">
        <v>23</v>
      </c>
    </row>
    <row r="10" ht="294.0" customHeight="1">
      <c r="A10" s="11" t="s">
        <v>24</v>
      </c>
      <c r="B10" s="12" t="s">
        <v>25</v>
      </c>
      <c r="C10" s="13" t="s">
        <v>26</v>
      </c>
      <c r="D10" s="24" t="s">
        <v>27</v>
      </c>
      <c r="E10" s="15">
        <v>3500000.0</v>
      </c>
      <c r="F10" s="16">
        <f t="shared" si="1"/>
        <v>4165000</v>
      </c>
      <c r="G10" s="17">
        <v>875.0</v>
      </c>
      <c r="H10" s="18" t="s">
        <v>16</v>
      </c>
      <c r="I10" s="19" t="s">
        <v>17</v>
      </c>
      <c r="J10" s="23" t="s">
        <v>28</v>
      </c>
    </row>
    <row r="11" ht="1.5" customHeight="1">
      <c r="A11" s="25"/>
      <c r="B11" s="26"/>
      <c r="C11" s="26"/>
      <c r="D11" s="26"/>
      <c r="E11" s="26"/>
      <c r="F11" s="26"/>
      <c r="G11" s="26"/>
      <c r="H11" s="26"/>
      <c r="I11" s="26"/>
      <c r="J11" s="26"/>
    </row>
    <row r="12" ht="3.0" customHeight="1">
      <c r="A12" s="27"/>
      <c r="B12" s="27"/>
      <c r="C12" s="27"/>
      <c r="D12" s="27"/>
      <c r="E12" s="27"/>
      <c r="F12" s="27"/>
      <c r="G12" s="27"/>
      <c r="H12" s="27"/>
      <c r="I12" s="27"/>
      <c r="J12" s="27"/>
    </row>
    <row r="13" ht="15.75" customHeight="1">
      <c r="A13" s="28"/>
    </row>
    <row r="14" ht="12.75"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ht="12.0" customHeight="1">
      <c r="A15" s="28"/>
      <c r="K15" s="27"/>
      <c r="L15" s="27"/>
      <c r="M15" s="27"/>
      <c r="N15" s="27"/>
      <c r="O15" s="27"/>
      <c r="P15" s="27"/>
      <c r="Q15" s="27"/>
      <c r="R15" s="27"/>
      <c r="S15" s="27"/>
      <c r="T15" s="27"/>
      <c r="U15" s="27"/>
      <c r="V15" s="27"/>
      <c r="W15" s="27"/>
      <c r="X15" s="27"/>
      <c r="Y15" s="27"/>
      <c r="Z15" s="27"/>
      <c r="AA15" s="27"/>
      <c r="AB15" s="27"/>
      <c r="AC15" s="27"/>
      <c r="AD15" s="27"/>
    </row>
    <row r="16" ht="12.75" customHeight="1">
      <c r="A16" s="27"/>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row>
    <row r="17" ht="12.75" customHeight="1">
      <c r="A17" s="27"/>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row>
    <row r="18" ht="12.75" customHeight="1">
      <c r="A18" s="27"/>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row>
    <row r="19" ht="12.75" customHeight="1">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row>
    <row r="20" ht="12.75" customHeight="1"/>
    <row r="21" ht="12.75" customHeight="1"/>
    <row r="22" ht="12.75" customHeight="1"/>
    <row r="23" ht="12.75" customHeight="1"/>
    <row r="24" ht="12.75" customHeight="1"/>
    <row r="25" ht="12.75" customHeight="1"/>
    <row r="26" ht="12.75" customHeight="1">
      <c r="D26" s="29"/>
      <c r="E26" s="29"/>
      <c r="F26" s="1"/>
      <c r="G26" s="1"/>
    </row>
    <row r="27" ht="12.75" customHeight="1">
      <c r="B27" s="27"/>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84.0" customHeight="1">
      <c r="A7" s="6" t="s">
        <v>2</v>
      </c>
      <c r="B7" s="30" t="s">
        <v>29</v>
      </c>
      <c r="C7" s="30" t="s">
        <v>30</v>
      </c>
      <c r="D7" s="30" t="s">
        <v>31</v>
      </c>
      <c r="E7" s="30" t="s">
        <v>32</v>
      </c>
      <c r="F7" s="31" t="s">
        <v>33</v>
      </c>
      <c r="G7" s="9" t="s">
        <v>34</v>
      </c>
      <c r="H7" s="30" t="s">
        <v>9</v>
      </c>
      <c r="I7" s="30" t="s">
        <v>35</v>
      </c>
      <c r="J7" s="30" t="s">
        <v>36</v>
      </c>
      <c r="K7" s="10"/>
      <c r="L7" s="10"/>
      <c r="M7" s="10"/>
      <c r="N7" s="10"/>
      <c r="O7" s="10"/>
      <c r="P7" s="10"/>
      <c r="Q7" s="10"/>
      <c r="R7" s="10"/>
      <c r="S7" s="10"/>
      <c r="T7" s="10"/>
      <c r="U7" s="10"/>
      <c r="V7" s="10"/>
      <c r="W7" s="10"/>
      <c r="X7" s="10"/>
      <c r="Y7" s="10"/>
      <c r="Z7" s="10"/>
    </row>
    <row r="8" ht="99.0" customHeight="1">
      <c r="A8" s="30" t="s">
        <v>12</v>
      </c>
      <c r="B8" s="32" t="s">
        <v>37</v>
      </c>
      <c r="C8" s="33" t="s">
        <v>38</v>
      </c>
      <c r="D8" s="34" t="s">
        <v>39</v>
      </c>
      <c r="E8" s="15">
        <v>300000.0</v>
      </c>
      <c r="F8" s="16">
        <f t="shared" ref="F8:F10" si="1">E8*1.19</f>
        <v>357000</v>
      </c>
      <c r="G8" s="17">
        <v>75.0</v>
      </c>
      <c r="H8" s="35" t="s">
        <v>16</v>
      </c>
      <c r="I8" s="34" t="s">
        <v>40</v>
      </c>
      <c r="J8" s="36" t="s">
        <v>41</v>
      </c>
    </row>
    <row r="9" ht="108.0" customHeight="1">
      <c r="A9" s="30" t="s">
        <v>19</v>
      </c>
      <c r="B9" s="32" t="s">
        <v>20</v>
      </c>
      <c r="C9" s="37" t="s">
        <v>42</v>
      </c>
      <c r="D9" s="38" t="s">
        <v>43</v>
      </c>
      <c r="E9" s="15">
        <v>600000.0</v>
      </c>
      <c r="F9" s="16">
        <f t="shared" si="1"/>
        <v>714000</v>
      </c>
      <c r="G9" s="17">
        <v>150.0</v>
      </c>
      <c r="H9" s="35" t="s">
        <v>16</v>
      </c>
      <c r="I9" s="34" t="s">
        <v>40</v>
      </c>
      <c r="J9" s="39" t="s">
        <v>44</v>
      </c>
    </row>
    <row r="10" ht="124.5" customHeight="1">
      <c r="A10" s="30" t="s">
        <v>24</v>
      </c>
      <c r="B10" s="32" t="s">
        <v>25</v>
      </c>
      <c r="C10" s="40" t="s">
        <v>45</v>
      </c>
      <c r="D10" s="41" t="s">
        <v>46</v>
      </c>
      <c r="E10" s="15">
        <v>1000000.0</v>
      </c>
      <c r="F10" s="16">
        <f t="shared" si="1"/>
        <v>1190000</v>
      </c>
      <c r="G10" s="17">
        <v>250.0</v>
      </c>
      <c r="H10" s="35" t="s">
        <v>16</v>
      </c>
      <c r="I10" s="34" t="s">
        <v>40</v>
      </c>
      <c r="J10" s="39" t="s">
        <v>47</v>
      </c>
    </row>
    <row r="11" ht="15.0" hidden="1" customHeight="1">
      <c r="A11" s="25"/>
      <c r="B11" s="26"/>
      <c r="C11" s="26"/>
      <c r="D11" s="26"/>
      <c r="E11" s="26"/>
      <c r="F11" s="26"/>
      <c r="G11" s="26"/>
      <c r="H11" s="42" t="s">
        <v>16</v>
      </c>
      <c r="I11" s="26"/>
      <c r="J11" s="26"/>
    </row>
    <row r="12" ht="12.75" customHeight="1"/>
    <row r="13" ht="23.25" customHeight="1">
      <c r="A13" s="28"/>
      <c r="K13" s="27"/>
      <c r="L13" s="27"/>
      <c r="M13" s="27"/>
      <c r="N13" s="27"/>
      <c r="O13" s="27"/>
      <c r="P13" s="27"/>
      <c r="Q13" s="27"/>
      <c r="R13" s="27"/>
      <c r="S13" s="27"/>
      <c r="T13" s="27"/>
      <c r="U13" s="27"/>
      <c r="V13" s="27"/>
      <c r="W13" s="27"/>
      <c r="X13" s="27"/>
      <c r="Y13" s="27"/>
      <c r="Z13" s="27"/>
      <c r="AA13" s="27"/>
      <c r="AB13" s="27"/>
      <c r="AC13" s="27"/>
      <c r="AD13" s="27"/>
    </row>
    <row r="14" ht="12.75" customHeight="1">
      <c r="A14" s="27"/>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row>
    <row r="15" ht="18.0" customHeight="1">
      <c r="A15" s="28"/>
      <c r="K15" s="27"/>
      <c r="L15" s="27"/>
      <c r="M15" s="27"/>
      <c r="N15" s="27"/>
      <c r="O15" s="27"/>
      <c r="P15" s="27"/>
      <c r="Q15" s="27"/>
      <c r="R15" s="27"/>
      <c r="S15" s="27"/>
      <c r="T15" s="27"/>
      <c r="U15" s="27"/>
      <c r="V15" s="27"/>
      <c r="W15" s="27"/>
      <c r="X15" s="27"/>
      <c r="Y15" s="27"/>
      <c r="Z15" s="27"/>
      <c r="AA15" s="27"/>
      <c r="AB15" s="27"/>
      <c r="AC15" s="27"/>
      <c r="AD15" s="27"/>
    </row>
    <row r="16" ht="12.75" customHeight="1"/>
    <row r="17" ht="12.75" customHeight="1"/>
    <row r="18" ht="12.75" customHeight="1"/>
    <row r="19" ht="12.75" customHeight="1"/>
    <row r="20" ht="12.75" customHeight="1"/>
    <row r="21" ht="12.75" customHeight="1"/>
    <row r="22" ht="12.75" customHeight="1"/>
    <row r="23" ht="12.75" customHeight="1">
      <c r="C23" s="27"/>
    </row>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43" t="s">
        <v>2</v>
      </c>
      <c r="B7" s="44" t="s">
        <v>48</v>
      </c>
      <c r="C7" s="44" t="s">
        <v>49</v>
      </c>
      <c r="D7" s="44" t="s">
        <v>50</v>
      </c>
      <c r="E7" s="44" t="s">
        <v>51</v>
      </c>
      <c r="F7" s="45" t="s">
        <v>52</v>
      </c>
      <c r="G7" s="46" t="s">
        <v>53</v>
      </c>
      <c r="H7" s="44" t="s">
        <v>9</v>
      </c>
      <c r="I7" s="44" t="s">
        <v>54</v>
      </c>
      <c r="J7" s="44" t="s">
        <v>55</v>
      </c>
      <c r="K7" s="10"/>
      <c r="L7" s="10"/>
      <c r="M7" s="10"/>
      <c r="N7" s="10"/>
      <c r="O7" s="10"/>
      <c r="P7" s="10"/>
      <c r="Q7" s="10"/>
      <c r="R7" s="10"/>
      <c r="S7" s="10"/>
      <c r="T7" s="10"/>
      <c r="U7" s="10"/>
      <c r="V7" s="10"/>
      <c r="W7" s="10"/>
      <c r="X7" s="10"/>
      <c r="Y7" s="10"/>
      <c r="Z7" s="10"/>
    </row>
    <row r="8" ht="132.75" customHeight="1">
      <c r="A8" s="11" t="s">
        <v>12</v>
      </c>
      <c r="B8" s="34" t="s">
        <v>56</v>
      </c>
      <c r="C8" s="40" t="s">
        <v>57</v>
      </c>
      <c r="D8" s="14" t="s">
        <v>58</v>
      </c>
      <c r="E8" s="15">
        <v>150000.0</v>
      </c>
      <c r="F8" s="16">
        <f t="shared" ref="F8:F10" si="1">E8*1.19</f>
        <v>178500</v>
      </c>
      <c r="G8" s="17">
        <v>37.0</v>
      </c>
      <c r="H8" s="35" t="s">
        <v>16</v>
      </c>
      <c r="I8" s="34" t="s">
        <v>59</v>
      </c>
      <c r="J8" s="47" t="s">
        <v>60</v>
      </c>
    </row>
    <row r="9" ht="112.5" customHeight="1">
      <c r="A9" s="11" t="s">
        <v>19</v>
      </c>
      <c r="B9" s="48" t="s">
        <v>61</v>
      </c>
      <c r="C9" s="40" t="s">
        <v>62</v>
      </c>
      <c r="D9" s="49" t="s">
        <v>63</v>
      </c>
      <c r="E9" s="15">
        <v>250000.0</v>
      </c>
      <c r="F9" s="16">
        <f t="shared" si="1"/>
        <v>297500</v>
      </c>
      <c r="G9" s="17">
        <v>62.0</v>
      </c>
      <c r="H9" s="35" t="s">
        <v>16</v>
      </c>
      <c r="I9" s="34" t="s">
        <v>59</v>
      </c>
      <c r="J9" s="50" t="s">
        <v>64</v>
      </c>
    </row>
    <row r="10" ht="118.5" customHeight="1">
      <c r="A10" s="11" t="s">
        <v>24</v>
      </c>
      <c r="B10" s="34" t="s">
        <v>65</v>
      </c>
      <c r="C10" s="40" t="s">
        <v>66</v>
      </c>
      <c r="D10" s="51" t="s">
        <v>67</v>
      </c>
      <c r="E10" s="15">
        <v>400000.0</v>
      </c>
      <c r="F10" s="16">
        <f t="shared" si="1"/>
        <v>476000</v>
      </c>
      <c r="G10" s="17">
        <v>100.0</v>
      </c>
      <c r="H10" s="35" t="s">
        <v>16</v>
      </c>
      <c r="I10" s="34" t="s">
        <v>59</v>
      </c>
      <c r="J10" s="50" t="s">
        <v>68</v>
      </c>
    </row>
    <row r="11" ht="1.5" customHeight="1">
      <c r="A11" s="52"/>
      <c r="B11" s="53"/>
      <c r="C11" s="53"/>
      <c r="D11" s="54"/>
      <c r="E11" s="55"/>
      <c r="F11" s="53"/>
      <c r="G11" s="56"/>
      <c r="H11" s="56"/>
      <c r="I11" s="53"/>
      <c r="J11" s="56"/>
    </row>
    <row r="12" ht="12.75" customHeight="1">
      <c r="A12" s="27"/>
      <c r="B12" s="27"/>
      <c r="C12" s="27"/>
      <c r="D12" s="27"/>
      <c r="E12" s="27"/>
      <c r="F12" s="27"/>
      <c r="G12" s="27"/>
      <c r="H12" s="27"/>
      <c r="I12" s="57"/>
      <c r="J12" s="27"/>
    </row>
    <row r="13" ht="138.75" customHeight="1">
      <c r="A13" s="28"/>
    </row>
    <row r="14" ht="12.75" customHeight="1">
      <c r="A14" s="27"/>
      <c r="B14" s="27"/>
      <c r="C14" s="27"/>
      <c r="D14" s="27"/>
      <c r="E14" s="27"/>
      <c r="F14" s="27"/>
      <c r="G14" s="27"/>
      <c r="H14" s="27"/>
      <c r="I14" s="27"/>
      <c r="J14" s="27"/>
    </row>
    <row r="15" ht="75.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69</v>
      </c>
      <c r="C7" s="44" t="s">
        <v>70</v>
      </c>
      <c r="D7" s="44" t="s">
        <v>71</v>
      </c>
      <c r="E7" s="44" t="s">
        <v>72</v>
      </c>
      <c r="F7" s="45" t="s">
        <v>73</v>
      </c>
      <c r="G7" s="46" t="s">
        <v>74</v>
      </c>
      <c r="H7" s="44" t="s">
        <v>9</v>
      </c>
      <c r="I7" s="44" t="s">
        <v>75</v>
      </c>
      <c r="J7" s="44" t="s">
        <v>76</v>
      </c>
      <c r="K7" s="10"/>
      <c r="L7" s="10"/>
      <c r="M7" s="10"/>
      <c r="N7" s="10"/>
      <c r="O7" s="10"/>
      <c r="P7" s="10"/>
      <c r="Q7" s="10"/>
      <c r="R7" s="10"/>
      <c r="S7" s="10"/>
      <c r="T7" s="10"/>
      <c r="U7" s="10"/>
      <c r="V7" s="10"/>
      <c r="W7" s="10"/>
      <c r="X7" s="10"/>
      <c r="Y7" s="10"/>
      <c r="Z7" s="10"/>
    </row>
    <row r="8" ht="100.5" customHeight="1">
      <c r="A8" s="58" t="s">
        <v>12</v>
      </c>
      <c r="B8" s="34" t="s">
        <v>77</v>
      </c>
      <c r="C8" s="40" t="s">
        <v>78</v>
      </c>
      <c r="D8" s="14" t="s">
        <v>79</v>
      </c>
      <c r="E8" s="59">
        <v>150000.0</v>
      </c>
      <c r="F8" s="60">
        <v>150000.0</v>
      </c>
      <c r="G8" s="60">
        <v>37.0</v>
      </c>
      <c r="H8" s="35" t="s">
        <v>16</v>
      </c>
      <c r="I8" s="34" t="s">
        <v>59</v>
      </c>
      <c r="J8" s="14" t="s">
        <v>80</v>
      </c>
    </row>
    <row r="9" ht="50.25" customHeight="1">
      <c r="A9" s="58" t="s">
        <v>19</v>
      </c>
      <c r="B9" s="34" t="s">
        <v>61</v>
      </c>
      <c r="C9" s="40" t="s">
        <v>81</v>
      </c>
      <c r="D9" s="41" t="s">
        <v>82</v>
      </c>
      <c r="E9" s="59">
        <v>250000.0</v>
      </c>
      <c r="F9" s="60">
        <f t="shared" ref="F9:F10" si="1">E9*1.19</f>
        <v>297500</v>
      </c>
      <c r="G9" s="60">
        <v>62.0</v>
      </c>
      <c r="H9" s="35" t="s">
        <v>16</v>
      </c>
      <c r="I9" s="34" t="s">
        <v>59</v>
      </c>
      <c r="J9" s="14" t="s">
        <v>83</v>
      </c>
    </row>
    <row r="10" ht="50.25" customHeight="1">
      <c r="A10" s="58" t="s">
        <v>24</v>
      </c>
      <c r="B10" s="34" t="s">
        <v>84</v>
      </c>
      <c r="C10" s="40" t="s">
        <v>85</v>
      </c>
      <c r="D10" s="41" t="s">
        <v>86</v>
      </c>
      <c r="E10" s="60">
        <v>400000.0</v>
      </c>
      <c r="F10" s="60">
        <f t="shared" si="1"/>
        <v>476000</v>
      </c>
      <c r="G10" s="60">
        <v>100.0</v>
      </c>
      <c r="H10" s="35" t="s">
        <v>16</v>
      </c>
      <c r="I10" s="34" t="s">
        <v>59</v>
      </c>
      <c r="J10" s="34" t="s">
        <v>87</v>
      </c>
    </row>
    <row r="11" ht="15.0" hidden="1" customHeight="1">
      <c r="A11" s="25"/>
      <c r="B11" s="61"/>
      <c r="C11" s="61"/>
      <c r="D11" s="61"/>
      <c r="E11" s="61"/>
      <c r="F11" s="61"/>
      <c r="G11" s="61"/>
      <c r="H11" s="61"/>
      <c r="I11" s="61"/>
      <c r="J11" s="61"/>
    </row>
    <row r="12" ht="12.75" customHeight="1"/>
    <row r="13" ht="10.5" customHeight="1">
      <c r="A13" s="28"/>
    </row>
    <row r="14" ht="12.75" customHeight="1">
      <c r="A14" s="27"/>
      <c r="B14" s="27"/>
      <c r="C14" s="27"/>
      <c r="D14" s="27"/>
      <c r="E14" s="27"/>
      <c r="F14" s="27"/>
      <c r="G14" s="27"/>
      <c r="H14" s="27"/>
      <c r="I14" s="27"/>
      <c r="J14" s="27"/>
    </row>
    <row r="15" ht="11.2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88</v>
      </c>
      <c r="C7" s="44" t="s">
        <v>89</v>
      </c>
      <c r="D7" s="44" t="s">
        <v>90</v>
      </c>
      <c r="E7" s="44" t="s">
        <v>91</v>
      </c>
      <c r="F7" s="45" t="s">
        <v>92</v>
      </c>
      <c r="G7" s="46" t="s">
        <v>93</v>
      </c>
      <c r="H7" s="44" t="s">
        <v>9</v>
      </c>
      <c r="I7" s="44" t="s">
        <v>94</v>
      </c>
      <c r="J7" s="44" t="s">
        <v>95</v>
      </c>
      <c r="K7" s="10"/>
      <c r="L7" s="10"/>
      <c r="M7" s="10"/>
      <c r="N7" s="10"/>
      <c r="O7" s="10"/>
      <c r="P7" s="10"/>
      <c r="Q7" s="10"/>
      <c r="R7" s="10"/>
      <c r="S7" s="10"/>
      <c r="T7" s="10"/>
      <c r="U7" s="10"/>
      <c r="V7" s="10"/>
      <c r="W7" s="10"/>
      <c r="X7" s="10"/>
      <c r="Y7" s="10"/>
      <c r="Z7" s="10"/>
    </row>
    <row r="8" ht="108.75" customHeight="1">
      <c r="A8" s="58" t="s">
        <v>12</v>
      </c>
      <c r="B8" s="34" t="s">
        <v>56</v>
      </c>
      <c r="C8" s="40" t="s">
        <v>57</v>
      </c>
      <c r="D8" s="48" t="s">
        <v>96</v>
      </c>
      <c r="E8" s="60">
        <v>80000.0</v>
      </c>
      <c r="F8" s="60">
        <f t="shared" ref="F8:F10" si="1">E8*1.19</f>
        <v>95200</v>
      </c>
      <c r="G8" s="62">
        <v>20.0</v>
      </c>
      <c r="H8" s="35" t="s">
        <v>16</v>
      </c>
      <c r="I8" s="34" t="s">
        <v>40</v>
      </c>
      <c r="J8" s="14" t="s">
        <v>97</v>
      </c>
    </row>
    <row r="9" ht="148.5" customHeight="1">
      <c r="A9" s="58" t="s">
        <v>19</v>
      </c>
      <c r="B9" s="48" t="s">
        <v>98</v>
      </c>
      <c r="C9" s="40" t="s">
        <v>99</v>
      </c>
      <c r="D9" s="14" t="s">
        <v>100</v>
      </c>
      <c r="E9" s="59">
        <v>150000.0</v>
      </c>
      <c r="F9" s="60">
        <f t="shared" si="1"/>
        <v>178500</v>
      </c>
      <c r="G9" s="62">
        <v>37.0</v>
      </c>
      <c r="H9" s="35" t="s">
        <v>16</v>
      </c>
      <c r="I9" s="34" t="s">
        <v>40</v>
      </c>
      <c r="J9" s="14" t="s">
        <v>101</v>
      </c>
    </row>
    <row r="10" ht="119.25" customHeight="1">
      <c r="A10" s="58" t="s">
        <v>24</v>
      </c>
      <c r="B10" s="34" t="s">
        <v>102</v>
      </c>
      <c r="C10" s="40" t="s">
        <v>103</v>
      </c>
      <c r="D10" s="63" t="s">
        <v>104</v>
      </c>
      <c r="E10" s="59">
        <v>300000.0</v>
      </c>
      <c r="F10" s="60">
        <f t="shared" si="1"/>
        <v>357000</v>
      </c>
      <c r="G10" s="62">
        <v>75.0</v>
      </c>
      <c r="H10" s="35" t="s">
        <v>16</v>
      </c>
      <c r="I10" s="34" t="s">
        <v>40</v>
      </c>
      <c r="J10" s="63" t="s">
        <v>105</v>
      </c>
    </row>
    <row r="11" ht="15.0" hidden="1" customHeight="1">
      <c r="A11" s="25"/>
      <c r="B11" s="61"/>
      <c r="C11" s="61"/>
      <c r="D11" s="61"/>
      <c r="E11" s="61"/>
      <c r="F11" s="61"/>
      <c r="G11" s="61"/>
      <c r="H11" s="61"/>
      <c r="I11" s="61"/>
      <c r="J11" s="61"/>
    </row>
    <row r="12" ht="12.75" customHeight="1"/>
    <row r="13" ht="42.75" customHeight="1">
      <c r="A13" s="28"/>
    </row>
    <row r="14" ht="12.75" customHeight="1">
      <c r="A14" s="27"/>
      <c r="B14" s="27"/>
      <c r="C14" s="27"/>
      <c r="D14" s="27"/>
      <c r="E14" s="27"/>
      <c r="F14" s="27"/>
      <c r="G14" s="27"/>
      <c r="H14" s="27"/>
      <c r="I14" s="27"/>
      <c r="J14" s="27"/>
    </row>
    <row r="15" ht="21.7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4">
        <v>0.0</v>
      </c>
      <c r="B5" s="4"/>
      <c r="C5" s="4"/>
      <c r="D5" s="4"/>
      <c r="E5" s="4"/>
      <c r="F5" s="4"/>
      <c r="G5" s="4"/>
      <c r="H5" s="4"/>
      <c r="I5" s="4"/>
      <c r="J5" s="5"/>
    </row>
    <row r="6" ht="15.75" customHeight="1"/>
    <row r="7" ht="75.75" customHeight="1">
      <c r="A7" s="6" t="s">
        <v>2</v>
      </c>
      <c r="B7" s="44" t="s">
        <v>106</v>
      </c>
      <c r="C7" s="44" t="s">
        <v>107</v>
      </c>
      <c r="D7" s="44" t="s">
        <v>108</v>
      </c>
      <c r="E7" s="44" t="s">
        <v>109</v>
      </c>
      <c r="F7" s="45" t="s">
        <v>110</v>
      </c>
      <c r="G7" s="46" t="s">
        <v>111</v>
      </c>
      <c r="H7" s="44" t="s">
        <v>9</v>
      </c>
      <c r="I7" s="44" t="s">
        <v>112</v>
      </c>
      <c r="J7" s="44" t="s">
        <v>113</v>
      </c>
      <c r="K7" s="10"/>
      <c r="L7" s="10"/>
      <c r="M7" s="10"/>
      <c r="N7" s="10"/>
      <c r="O7" s="10"/>
      <c r="P7" s="10"/>
      <c r="Q7" s="10"/>
      <c r="R7" s="10"/>
      <c r="S7" s="10"/>
      <c r="T7" s="10"/>
      <c r="U7" s="10"/>
      <c r="V7" s="10"/>
      <c r="W7" s="10"/>
      <c r="X7" s="10"/>
      <c r="Y7" s="10"/>
      <c r="Z7" s="10"/>
    </row>
    <row r="8" ht="128.25" customHeight="1">
      <c r="A8" s="65" t="s">
        <v>12</v>
      </c>
      <c r="B8" s="53" t="s">
        <v>114</v>
      </c>
      <c r="C8" s="40" t="s">
        <v>115</v>
      </c>
      <c r="D8" s="49" t="s">
        <v>116</v>
      </c>
      <c r="E8" s="15">
        <v>46000.0</v>
      </c>
      <c r="F8" s="60">
        <f>F9</f>
        <v>107100</v>
      </c>
      <c r="G8" s="62">
        <v>11.0</v>
      </c>
      <c r="H8" s="35" t="s">
        <v>16</v>
      </c>
      <c r="I8" s="34" t="s">
        <v>40</v>
      </c>
      <c r="J8" s="66" t="s">
        <v>117</v>
      </c>
    </row>
    <row r="9" ht="111.0" customHeight="1">
      <c r="A9" s="11" t="s">
        <v>19</v>
      </c>
      <c r="B9" s="48" t="s">
        <v>118</v>
      </c>
      <c r="C9" s="67" t="s">
        <v>119</v>
      </c>
      <c r="D9" s="68" t="s">
        <v>120</v>
      </c>
      <c r="E9" s="69">
        <v>90000.0</v>
      </c>
      <c r="F9" s="70">
        <f t="shared" ref="F9:F10" si="1">E9*1.19</f>
        <v>107100</v>
      </c>
      <c r="G9" s="62">
        <v>22.0</v>
      </c>
      <c r="H9" s="35" t="s">
        <v>16</v>
      </c>
      <c r="I9" s="34" t="s">
        <v>40</v>
      </c>
      <c r="J9" s="39" t="s">
        <v>121</v>
      </c>
    </row>
    <row r="10" ht="132.75" customHeight="1">
      <c r="A10" s="11" t="s">
        <v>24</v>
      </c>
      <c r="B10" s="71" t="s">
        <v>122</v>
      </c>
      <c r="C10" s="40" t="s">
        <v>123</v>
      </c>
      <c r="D10" s="34" t="s">
        <v>124</v>
      </c>
      <c r="E10" s="60">
        <v>109900.0</v>
      </c>
      <c r="F10" s="60">
        <f t="shared" si="1"/>
        <v>130781</v>
      </c>
      <c r="G10" s="62">
        <v>27.0</v>
      </c>
      <c r="H10" s="35" t="s">
        <v>16</v>
      </c>
      <c r="I10" s="34" t="s">
        <v>40</v>
      </c>
      <c r="J10" s="72" t="s">
        <v>125</v>
      </c>
    </row>
    <row r="11" ht="54.0" customHeight="1">
      <c r="A11" s="1"/>
      <c r="B11" s="57"/>
      <c r="C11" s="57"/>
      <c r="D11" s="57"/>
      <c r="E11" s="73"/>
      <c r="F11" s="73"/>
      <c r="G11" s="74"/>
      <c r="H11" s="74"/>
      <c r="I11" s="74"/>
      <c r="J11" s="74"/>
    </row>
    <row r="12" ht="12.75" customHeight="1"/>
    <row r="13" ht="138.75" customHeight="1">
      <c r="A13" s="28"/>
    </row>
    <row r="14" ht="12.75" customHeight="1">
      <c r="A14" s="27"/>
      <c r="B14" s="27"/>
      <c r="C14" s="27"/>
      <c r="D14" s="27"/>
      <c r="E14" s="27"/>
      <c r="F14" s="27"/>
      <c r="G14" s="27"/>
      <c r="H14" s="27"/>
      <c r="I14" s="27"/>
      <c r="J14" s="27"/>
    </row>
    <row r="15" ht="75.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126</v>
      </c>
      <c r="C7" s="44" t="s">
        <v>127</v>
      </c>
      <c r="D7" s="44" t="s">
        <v>128</v>
      </c>
      <c r="E7" s="44" t="s">
        <v>129</v>
      </c>
      <c r="F7" s="45" t="s">
        <v>130</v>
      </c>
      <c r="G7" s="46" t="s">
        <v>131</v>
      </c>
      <c r="H7" s="44" t="s">
        <v>9</v>
      </c>
      <c r="I7" s="44" t="s">
        <v>132</v>
      </c>
      <c r="J7" s="44" t="s">
        <v>133</v>
      </c>
      <c r="K7" s="10"/>
      <c r="L7" s="10"/>
      <c r="M7" s="10"/>
      <c r="N7" s="10"/>
      <c r="O7" s="10"/>
      <c r="P7" s="10"/>
      <c r="Q7" s="10"/>
      <c r="R7" s="10"/>
      <c r="S7" s="10"/>
      <c r="T7" s="10"/>
      <c r="U7" s="10"/>
      <c r="V7" s="10"/>
      <c r="W7" s="10"/>
      <c r="X7" s="10"/>
      <c r="Y7" s="10"/>
      <c r="Z7" s="10"/>
    </row>
    <row r="8" ht="62.25" customHeight="1">
      <c r="A8" s="58" t="s">
        <v>12</v>
      </c>
      <c r="B8" s="34" t="s">
        <v>134</v>
      </c>
      <c r="C8" s="40" t="s">
        <v>135</v>
      </c>
      <c r="D8" s="34" t="s">
        <v>136</v>
      </c>
      <c r="E8" s="59">
        <v>20000.0</v>
      </c>
      <c r="F8" s="60">
        <f t="shared" ref="F8:F10" si="1">E8*1.19</f>
        <v>23800</v>
      </c>
      <c r="G8" s="75">
        <v>5.0</v>
      </c>
      <c r="H8" s="76" t="s">
        <v>16</v>
      </c>
      <c r="I8" s="71" t="s">
        <v>59</v>
      </c>
      <c r="J8" s="77" t="s">
        <v>137</v>
      </c>
    </row>
    <row r="9" ht="69.0" customHeight="1">
      <c r="A9" s="58" t="s">
        <v>19</v>
      </c>
      <c r="B9" s="48" t="s">
        <v>138</v>
      </c>
      <c r="C9" s="40" t="s">
        <v>139</v>
      </c>
      <c r="D9" s="34" t="s">
        <v>140</v>
      </c>
      <c r="E9" s="60">
        <v>60000.0</v>
      </c>
      <c r="F9" s="60">
        <f t="shared" si="1"/>
        <v>71400</v>
      </c>
      <c r="G9" s="75">
        <v>15.0</v>
      </c>
      <c r="H9" s="76" t="s">
        <v>16</v>
      </c>
      <c r="I9" s="71" t="s">
        <v>59</v>
      </c>
      <c r="J9" s="78" t="s">
        <v>141</v>
      </c>
    </row>
    <row r="10" ht="68.25" customHeight="1">
      <c r="A10" s="58" t="s">
        <v>24</v>
      </c>
      <c r="B10" s="34" t="s">
        <v>142</v>
      </c>
      <c r="C10" s="40" t="s">
        <v>143</v>
      </c>
      <c r="D10" s="34" t="s">
        <v>144</v>
      </c>
      <c r="E10" s="59">
        <v>120000.0</v>
      </c>
      <c r="F10" s="60">
        <f t="shared" si="1"/>
        <v>142800</v>
      </c>
      <c r="G10" s="75">
        <v>30.0</v>
      </c>
      <c r="H10" s="76" t="s">
        <v>16</v>
      </c>
      <c r="I10" s="71" t="s">
        <v>59</v>
      </c>
      <c r="J10" s="79" t="s">
        <v>145</v>
      </c>
    </row>
    <row r="11" ht="15.0" hidden="1" customHeight="1">
      <c r="A11" s="25"/>
      <c r="B11" s="61"/>
      <c r="C11" s="61"/>
      <c r="D11" s="61"/>
      <c r="E11" s="61"/>
      <c r="F11" s="61"/>
      <c r="G11" s="61"/>
      <c r="H11" s="76" t="s">
        <v>16</v>
      </c>
      <c r="I11" s="80" t="s">
        <v>59</v>
      </c>
      <c r="J11" s="61"/>
    </row>
    <row r="12" ht="12.75" customHeight="1"/>
    <row r="13" ht="15.0" customHeight="1">
      <c r="A13" s="28"/>
    </row>
    <row r="14" ht="12.75" customHeight="1">
      <c r="A14" s="27"/>
      <c r="B14" s="27"/>
      <c r="C14" s="27"/>
      <c r="D14" s="27"/>
      <c r="E14" s="27"/>
      <c r="F14" s="27"/>
      <c r="G14" s="27"/>
      <c r="H14" s="27"/>
      <c r="I14" s="27"/>
      <c r="J14" s="27"/>
    </row>
    <row r="15" ht="15.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146</v>
      </c>
      <c r="C7" s="44" t="s">
        <v>147</v>
      </c>
      <c r="D7" s="44" t="s">
        <v>148</v>
      </c>
      <c r="E7" s="44" t="s">
        <v>149</v>
      </c>
      <c r="F7" s="45" t="s">
        <v>150</v>
      </c>
      <c r="G7" s="46" t="s">
        <v>151</v>
      </c>
      <c r="H7" s="44" t="s">
        <v>9</v>
      </c>
      <c r="I7" s="44" t="s">
        <v>152</v>
      </c>
      <c r="J7" s="44" t="s">
        <v>153</v>
      </c>
      <c r="K7" s="10"/>
      <c r="L7" s="10"/>
      <c r="M7" s="10"/>
      <c r="N7" s="10"/>
      <c r="O7" s="10"/>
      <c r="P7" s="10"/>
      <c r="Q7" s="10"/>
      <c r="R7" s="10"/>
      <c r="S7" s="10"/>
      <c r="T7" s="10"/>
      <c r="U7" s="10"/>
      <c r="V7" s="10"/>
      <c r="W7" s="10"/>
      <c r="X7" s="10"/>
      <c r="Y7" s="10"/>
      <c r="Z7" s="10"/>
    </row>
    <row r="8" ht="50.25" customHeight="1">
      <c r="A8" s="58" t="s">
        <v>12</v>
      </c>
      <c r="B8" s="81" t="s">
        <v>154</v>
      </c>
      <c r="C8" s="40" t="s">
        <v>155</v>
      </c>
      <c r="D8" s="63" t="s">
        <v>156</v>
      </c>
      <c r="E8" s="82">
        <v>3000000.0</v>
      </c>
      <c r="F8" s="17">
        <f t="shared" ref="F8:F10" si="1">E8*1.19</f>
        <v>3570000</v>
      </c>
      <c r="G8" s="82">
        <v>750.0</v>
      </c>
      <c r="H8" s="83" t="s">
        <v>16</v>
      </c>
      <c r="I8" s="81" t="s">
        <v>59</v>
      </c>
      <c r="J8" s="63" t="s">
        <v>157</v>
      </c>
    </row>
    <row r="9" ht="50.25" customHeight="1">
      <c r="A9" s="58" t="s">
        <v>19</v>
      </c>
      <c r="B9" s="81" t="s">
        <v>25</v>
      </c>
      <c r="C9" s="40" t="s">
        <v>45</v>
      </c>
      <c r="D9" s="63" t="s">
        <v>158</v>
      </c>
      <c r="E9" s="82">
        <v>5000000.0</v>
      </c>
      <c r="F9" s="17">
        <f t="shared" si="1"/>
        <v>5950000</v>
      </c>
      <c r="G9" s="82">
        <v>1250.0</v>
      </c>
      <c r="H9" s="83" t="s">
        <v>16</v>
      </c>
      <c r="I9" s="81" t="s">
        <v>59</v>
      </c>
      <c r="J9" s="63" t="s">
        <v>159</v>
      </c>
    </row>
    <row r="10" ht="50.25" customHeight="1">
      <c r="A10" s="58" t="s">
        <v>24</v>
      </c>
      <c r="B10" s="81" t="s">
        <v>20</v>
      </c>
      <c r="C10" s="40" t="s">
        <v>42</v>
      </c>
      <c r="D10" s="63" t="s">
        <v>160</v>
      </c>
      <c r="E10" s="82">
        <v>8000000.0</v>
      </c>
      <c r="F10" s="17">
        <f t="shared" si="1"/>
        <v>9520000</v>
      </c>
      <c r="G10" s="82">
        <v>2000.0</v>
      </c>
      <c r="H10" s="83" t="s">
        <v>16</v>
      </c>
      <c r="I10" s="81" t="s">
        <v>59</v>
      </c>
      <c r="J10" s="63" t="s">
        <v>161</v>
      </c>
    </row>
    <row r="11" ht="15.0" hidden="1" customHeight="1">
      <c r="A11" s="25"/>
      <c r="B11" s="61"/>
      <c r="C11" s="61"/>
      <c r="D11" s="61"/>
      <c r="E11" s="61"/>
      <c r="F11" s="61"/>
      <c r="G11" s="61"/>
      <c r="H11" s="61"/>
      <c r="I11" s="61"/>
      <c r="J11" s="61"/>
    </row>
    <row r="12" ht="12.75" customHeight="1"/>
    <row r="13" ht="11.25" customHeight="1">
      <c r="A13" s="28"/>
      <c r="K13" s="27"/>
    </row>
    <row r="14" ht="12.75" customHeight="1">
      <c r="A14" s="27"/>
      <c r="B14" s="27"/>
      <c r="C14" s="27"/>
      <c r="D14" s="27"/>
      <c r="E14" s="27"/>
      <c r="F14" s="27"/>
      <c r="G14" s="27"/>
      <c r="H14" s="27"/>
      <c r="I14" s="27"/>
      <c r="J14" s="27"/>
      <c r="K14" s="27"/>
    </row>
    <row r="15" ht="13.5" customHeight="1">
      <c r="A15" s="28"/>
      <c r="K15" s="27"/>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162</v>
      </c>
      <c r="C7" s="44" t="s">
        <v>163</v>
      </c>
      <c r="D7" s="44" t="s">
        <v>164</v>
      </c>
      <c r="E7" s="44" t="s">
        <v>165</v>
      </c>
      <c r="F7" s="45" t="s">
        <v>166</v>
      </c>
      <c r="G7" s="46" t="s">
        <v>167</v>
      </c>
      <c r="H7" s="44" t="s">
        <v>9</v>
      </c>
      <c r="I7" s="44" t="s">
        <v>168</v>
      </c>
      <c r="J7" s="44" t="s">
        <v>169</v>
      </c>
      <c r="K7" s="10"/>
      <c r="L7" s="10"/>
      <c r="M7" s="10"/>
      <c r="N7" s="10"/>
      <c r="O7" s="10"/>
      <c r="P7" s="10"/>
      <c r="Q7" s="10"/>
      <c r="R7" s="10"/>
      <c r="S7" s="10"/>
      <c r="T7" s="10"/>
      <c r="U7" s="10"/>
      <c r="V7" s="10"/>
      <c r="W7" s="10"/>
      <c r="X7" s="10"/>
      <c r="Y7" s="10"/>
      <c r="Z7" s="10"/>
    </row>
    <row r="8" ht="50.25" customHeight="1">
      <c r="A8" s="58" t="s">
        <v>12</v>
      </c>
      <c r="B8" s="34" t="s">
        <v>13</v>
      </c>
      <c r="C8" s="40" t="s">
        <v>170</v>
      </c>
      <c r="D8" s="14" t="s">
        <v>171</v>
      </c>
      <c r="E8" s="59">
        <v>2500000.0</v>
      </c>
      <c r="F8" s="59">
        <f t="shared" ref="F8:F10" si="1">E8*1.19</f>
        <v>2975000</v>
      </c>
      <c r="G8" s="75">
        <v>625.0</v>
      </c>
      <c r="H8" s="35" t="s">
        <v>16</v>
      </c>
      <c r="I8" s="34" t="s">
        <v>59</v>
      </c>
      <c r="J8" s="63" t="s">
        <v>172</v>
      </c>
    </row>
    <row r="9" ht="50.25" customHeight="1">
      <c r="A9" s="58" t="s">
        <v>19</v>
      </c>
      <c r="B9" s="48" t="s">
        <v>20</v>
      </c>
      <c r="C9" s="40" t="s">
        <v>42</v>
      </c>
      <c r="D9" s="41" t="s">
        <v>173</v>
      </c>
      <c r="E9" s="60">
        <v>4000000.0</v>
      </c>
      <c r="F9" s="59">
        <f t="shared" si="1"/>
        <v>4760000</v>
      </c>
      <c r="G9" s="75">
        <v>1000.0</v>
      </c>
      <c r="H9" s="35" t="s">
        <v>16</v>
      </c>
      <c r="I9" s="34" t="s">
        <v>59</v>
      </c>
      <c r="J9" s="84" t="s">
        <v>174</v>
      </c>
    </row>
    <row r="10" ht="50.25" customHeight="1">
      <c r="A10" s="58" t="s">
        <v>24</v>
      </c>
      <c r="B10" s="34" t="s">
        <v>25</v>
      </c>
      <c r="C10" s="40" t="s">
        <v>45</v>
      </c>
      <c r="D10" s="41" t="s">
        <v>175</v>
      </c>
      <c r="E10" s="59">
        <v>7000000.0</v>
      </c>
      <c r="F10" s="59">
        <f t="shared" si="1"/>
        <v>8330000</v>
      </c>
      <c r="G10" s="75">
        <v>1750.0</v>
      </c>
      <c r="H10" s="35" t="s">
        <v>16</v>
      </c>
      <c r="I10" s="34" t="s">
        <v>59</v>
      </c>
      <c r="J10" s="84" t="s">
        <v>176</v>
      </c>
    </row>
    <row r="11" ht="15.0" hidden="1" customHeight="1">
      <c r="A11" s="25"/>
      <c r="B11" s="61"/>
      <c r="C11" s="61"/>
      <c r="D11" s="61"/>
      <c r="E11" s="61"/>
      <c r="F11" s="61"/>
      <c r="G11" s="61"/>
      <c r="H11" s="61"/>
      <c r="I11" s="61"/>
      <c r="J11" s="61"/>
    </row>
    <row r="12" ht="12.75" customHeight="1"/>
    <row r="13" ht="10.5" customHeight="1">
      <c r="A13" s="28"/>
    </row>
    <row r="14" ht="12.75" customHeight="1">
      <c r="A14" s="27"/>
      <c r="B14" s="27"/>
      <c r="C14" s="27"/>
      <c r="D14" s="27"/>
      <c r="E14" s="27"/>
      <c r="F14" s="27"/>
      <c r="G14" s="27"/>
      <c r="H14" s="27"/>
      <c r="I14" s="27"/>
      <c r="J14" s="27"/>
    </row>
    <row r="15" ht="11.2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30" t="s">
        <v>177</v>
      </c>
      <c r="C7" s="30" t="s">
        <v>178</v>
      </c>
      <c r="D7" s="30" t="s">
        <v>179</v>
      </c>
      <c r="E7" s="30" t="s">
        <v>180</v>
      </c>
      <c r="F7" s="31" t="s">
        <v>181</v>
      </c>
      <c r="G7" s="9" t="s">
        <v>182</v>
      </c>
      <c r="H7" s="30" t="s">
        <v>9</v>
      </c>
      <c r="I7" s="30" t="s">
        <v>183</v>
      </c>
      <c r="J7" s="30" t="s">
        <v>184</v>
      </c>
      <c r="K7" s="10"/>
      <c r="L7" s="10"/>
      <c r="M7" s="10"/>
      <c r="N7" s="10"/>
      <c r="O7" s="10"/>
      <c r="P7" s="10"/>
      <c r="Q7" s="10"/>
      <c r="R7" s="10"/>
      <c r="S7" s="10"/>
      <c r="T7" s="10"/>
      <c r="U7" s="10"/>
      <c r="V7" s="10"/>
      <c r="W7" s="10"/>
      <c r="X7" s="10"/>
      <c r="Y7" s="10"/>
      <c r="Z7" s="10"/>
    </row>
    <row r="8" ht="116.25" customHeight="1">
      <c r="A8" s="30" t="s">
        <v>12</v>
      </c>
      <c r="B8" s="32" t="s">
        <v>37</v>
      </c>
      <c r="C8" s="33" t="s">
        <v>38</v>
      </c>
      <c r="D8" s="34" t="s">
        <v>39</v>
      </c>
      <c r="E8" s="15">
        <v>300000.0</v>
      </c>
      <c r="F8" s="16">
        <f t="shared" ref="F8:F10" si="1">E8*1.19</f>
        <v>357000</v>
      </c>
      <c r="G8" s="17">
        <v>75.0</v>
      </c>
      <c r="H8" s="35" t="s">
        <v>16</v>
      </c>
      <c r="I8" s="34" t="s">
        <v>40</v>
      </c>
      <c r="J8" s="36" t="s">
        <v>41</v>
      </c>
    </row>
    <row r="9" ht="107.25" customHeight="1">
      <c r="A9" s="30" t="s">
        <v>19</v>
      </c>
      <c r="B9" s="32" t="s">
        <v>20</v>
      </c>
      <c r="C9" s="37" t="s">
        <v>42</v>
      </c>
      <c r="D9" s="38" t="s">
        <v>43</v>
      </c>
      <c r="E9" s="15">
        <v>600000.0</v>
      </c>
      <c r="F9" s="16">
        <f t="shared" si="1"/>
        <v>714000</v>
      </c>
      <c r="G9" s="17">
        <v>150.0</v>
      </c>
      <c r="H9" s="35" t="s">
        <v>16</v>
      </c>
      <c r="I9" s="34" t="s">
        <v>40</v>
      </c>
      <c r="J9" s="39" t="s">
        <v>44</v>
      </c>
    </row>
    <row r="10" ht="129.75" customHeight="1">
      <c r="A10" s="30" t="s">
        <v>24</v>
      </c>
      <c r="B10" s="32" t="s">
        <v>25</v>
      </c>
      <c r="C10" s="40" t="s">
        <v>45</v>
      </c>
      <c r="D10" s="41" t="s">
        <v>46</v>
      </c>
      <c r="E10" s="15">
        <v>1000000.0</v>
      </c>
      <c r="F10" s="16">
        <f t="shared" si="1"/>
        <v>1190000</v>
      </c>
      <c r="G10" s="17">
        <v>250.0</v>
      </c>
      <c r="H10" s="35" t="s">
        <v>16</v>
      </c>
      <c r="I10" s="34" t="s">
        <v>40</v>
      </c>
      <c r="J10" s="39" t="s">
        <v>47</v>
      </c>
    </row>
    <row r="11" ht="15.0" hidden="1" customHeight="1">
      <c r="A11" s="25"/>
      <c r="B11" s="61"/>
      <c r="C11" s="61"/>
      <c r="D11" s="61"/>
      <c r="E11" s="61"/>
      <c r="F11" s="61"/>
      <c r="G11" s="61"/>
      <c r="H11" s="35" t="s">
        <v>16</v>
      </c>
      <c r="I11" s="61"/>
      <c r="J11" s="61"/>
    </row>
    <row r="12" ht="12.75" customHeight="1"/>
    <row r="13" ht="12.75" customHeight="1">
      <c r="A13" s="28"/>
    </row>
    <row r="14" ht="12.75" customHeight="1">
      <c r="A14" s="27"/>
      <c r="B14" s="27"/>
      <c r="C14" s="27"/>
      <c r="D14" s="27"/>
      <c r="E14" s="27"/>
      <c r="F14" s="27"/>
      <c r="G14" s="27"/>
      <c r="H14" s="27"/>
      <c r="I14" s="27"/>
      <c r="J14" s="27"/>
    </row>
    <row r="15" ht="12.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185</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186</v>
      </c>
      <c r="C7" s="44" t="s">
        <v>187</v>
      </c>
      <c r="D7" s="44" t="s">
        <v>188</v>
      </c>
      <c r="E7" s="44" t="s">
        <v>189</v>
      </c>
      <c r="F7" s="45" t="s">
        <v>190</v>
      </c>
      <c r="G7" s="46" t="s">
        <v>191</v>
      </c>
      <c r="H7" s="44" t="s">
        <v>9</v>
      </c>
      <c r="I7" s="44" t="s">
        <v>192</v>
      </c>
      <c r="J7" s="44" t="s">
        <v>193</v>
      </c>
      <c r="K7" s="10"/>
      <c r="L7" s="10"/>
      <c r="M7" s="10"/>
      <c r="N7" s="10"/>
      <c r="O7" s="10"/>
      <c r="P7" s="10"/>
      <c r="Q7" s="10"/>
      <c r="R7" s="10"/>
      <c r="S7" s="10"/>
      <c r="T7" s="10"/>
      <c r="U7" s="10"/>
      <c r="V7" s="10"/>
      <c r="W7" s="10"/>
      <c r="X7" s="10"/>
      <c r="Y7" s="10"/>
      <c r="Z7" s="10"/>
    </row>
    <row r="8" ht="133.5" customHeight="1">
      <c r="A8" s="58" t="s">
        <v>12</v>
      </c>
      <c r="B8" s="34" t="s">
        <v>77</v>
      </c>
      <c r="C8" s="40" t="s">
        <v>78</v>
      </c>
      <c r="D8" s="14" t="s">
        <v>79</v>
      </c>
      <c r="E8" s="59">
        <v>150000.0</v>
      </c>
      <c r="F8" s="60">
        <v>150000.0</v>
      </c>
      <c r="G8" s="60">
        <v>37.0</v>
      </c>
      <c r="H8" s="35" t="s">
        <v>16</v>
      </c>
      <c r="I8" s="34" t="s">
        <v>59</v>
      </c>
      <c r="J8" s="14" t="s">
        <v>80</v>
      </c>
    </row>
    <row r="9" ht="66.75" customHeight="1">
      <c r="A9" s="58" t="s">
        <v>19</v>
      </c>
      <c r="B9" s="34" t="s">
        <v>61</v>
      </c>
      <c r="C9" s="40" t="s">
        <v>81</v>
      </c>
      <c r="D9" s="41" t="s">
        <v>82</v>
      </c>
      <c r="E9" s="59">
        <v>250000.0</v>
      </c>
      <c r="F9" s="60">
        <f t="shared" ref="F9:F10" si="1">E9*1.19</f>
        <v>297500</v>
      </c>
      <c r="G9" s="60">
        <v>62.0</v>
      </c>
      <c r="H9" s="35" t="s">
        <v>16</v>
      </c>
      <c r="I9" s="34" t="s">
        <v>59</v>
      </c>
      <c r="J9" s="14" t="s">
        <v>83</v>
      </c>
    </row>
    <row r="10" ht="50.25" customHeight="1">
      <c r="A10" s="58" t="s">
        <v>24</v>
      </c>
      <c r="B10" s="34" t="s">
        <v>84</v>
      </c>
      <c r="C10" s="40" t="s">
        <v>85</v>
      </c>
      <c r="D10" s="41" t="s">
        <v>86</v>
      </c>
      <c r="E10" s="60">
        <v>400000.0</v>
      </c>
      <c r="F10" s="60">
        <f t="shared" si="1"/>
        <v>476000</v>
      </c>
      <c r="G10" s="60">
        <v>100.0</v>
      </c>
      <c r="H10" s="35" t="s">
        <v>16</v>
      </c>
      <c r="I10" s="34" t="s">
        <v>59</v>
      </c>
      <c r="J10" s="34" t="s">
        <v>87</v>
      </c>
    </row>
    <row r="11" ht="15.0" hidden="1" customHeight="1">
      <c r="A11" s="25"/>
      <c r="B11" s="61"/>
      <c r="C11" s="61"/>
      <c r="D11" s="61"/>
      <c r="E11" s="61"/>
      <c r="F11" s="61"/>
      <c r="G11" s="61"/>
      <c r="H11" s="61"/>
      <c r="I11" s="61"/>
      <c r="J11" s="61"/>
    </row>
    <row r="12" ht="12.75" customHeight="1"/>
    <row r="13" ht="9.0" customHeight="1">
      <c r="A13" s="28"/>
    </row>
    <row r="14" ht="12.75" customHeight="1">
      <c r="A14" s="27"/>
      <c r="B14" s="27"/>
      <c r="C14" s="27"/>
      <c r="D14" s="27"/>
      <c r="E14" s="27"/>
      <c r="F14" s="27"/>
      <c r="G14" s="27"/>
      <c r="H14" s="27"/>
      <c r="I14" s="27"/>
      <c r="J14" s="27"/>
    </row>
    <row r="15" ht="18.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194</v>
      </c>
      <c r="C7" s="44" t="s">
        <v>195</v>
      </c>
      <c r="D7" s="44" t="s">
        <v>196</v>
      </c>
      <c r="E7" s="44" t="s">
        <v>197</v>
      </c>
      <c r="F7" s="45" t="s">
        <v>198</v>
      </c>
      <c r="G7" s="46" t="s">
        <v>199</v>
      </c>
      <c r="H7" s="44" t="s">
        <v>9</v>
      </c>
      <c r="I7" s="44" t="s">
        <v>200</v>
      </c>
      <c r="J7" s="44" t="s">
        <v>201</v>
      </c>
      <c r="K7" s="10"/>
      <c r="L7" s="10"/>
      <c r="M7" s="10"/>
      <c r="N7" s="10"/>
      <c r="O7" s="10"/>
      <c r="P7" s="10"/>
      <c r="Q7" s="10"/>
      <c r="R7" s="10"/>
      <c r="S7" s="10"/>
      <c r="T7" s="10"/>
      <c r="U7" s="10"/>
      <c r="V7" s="10"/>
      <c r="W7" s="10"/>
      <c r="X7" s="10"/>
      <c r="Y7" s="10"/>
      <c r="Z7" s="10"/>
    </row>
    <row r="8" ht="50.25" customHeight="1">
      <c r="A8" s="58" t="s">
        <v>12</v>
      </c>
      <c r="B8" s="81" t="s">
        <v>154</v>
      </c>
      <c r="C8" s="40" t="s">
        <v>155</v>
      </c>
      <c r="D8" s="63" t="s">
        <v>156</v>
      </c>
      <c r="E8" s="82">
        <v>3000000.0</v>
      </c>
      <c r="F8" s="17">
        <f t="shared" ref="F8:F10" si="1">E8*1.19</f>
        <v>3570000</v>
      </c>
      <c r="G8" s="82">
        <v>750.0</v>
      </c>
      <c r="H8" s="83" t="s">
        <v>16</v>
      </c>
      <c r="I8" s="81" t="s">
        <v>59</v>
      </c>
      <c r="J8" s="63" t="s">
        <v>157</v>
      </c>
    </row>
    <row r="9" ht="50.25" customHeight="1">
      <c r="A9" s="58" t="s">
        <v>19</v>
      </c>
      <c r="B9" s="81" t="s">
        <v>25</v>
      </c>
      <c r="C9" s="40" t="s">
        <v>45</v>
      </c>
      <c r="D9" s="63" t="s">
        <v>158</v>
      </c>
      <c r="E9" s="82">
        <v>5000000.0</v>
      </c>
      <c r="F9" s="17">
        <f t="shared" si="1"/>
        <v>5950000</v>
      </c>
      <c r="G9" s="82">
        <v>1250.0</v>
      </c>
      <c r="H9" s="83" t="s">
        <v>16</v>
      </c>
      <c r="I9" s="81" t="s">
        <v>59</v>
      </c>
      <c r="J9" s="63" t="s">
        <v>159</v>
      </c>
    </row>
    <row r="10" ht="50.25" customHeight="1">
      <c r="A10" s="58" t="s">
        <v>24</v>
      </c>
      <c r="B10" s="81" t="s">
        <v>20</v>
      </c>
      <c r="C10" s="40" t="s">
        <v>42</v>
      </c>
      <c r="D10" s="63" t="s">
        <v>160</v>
      </c>
      <c r="E10" s="82">
        <v>8000000.0</v>
      </c>
      <c r="F10" s="17">
        <f t="shared" si="1"/>
        <v>9520000</v>
      </c>
      <c r="G10" s="82">
        <v>2000.0</v>
      </c>
      <c r="H10" s="83" t="s">
        <v>16</v>
      </c>
      <c r="I10" s="81" t="s">
        <v>59</v>
      </c>
      <c r="J10" s="63" t="s">
        <v>161</v>
      </c>
    </row>
    <row r="11" ht="15.0" hidden="1" customHeight="1">
      <c r="A11" s="25"/>
      <c r="B11" s="61"/>
      <c r="C11" s="61"/>
      <c r="D11" s="61"/>
      <c r="E11" s="61"/>
      <c r="F11" s="61"/>
      <c r="G11" s="61"/>
      <c r="H11" s="61"/>
      <c r="I11" s="61"/>
      <c r="J11" s="61"/>
    </row>
    <row r="12" ht="12.75" customHeight="1"/>
    <row r="13" ht="12.75" customHeight="1">
      <c r="A13" s="28"/>
    </row>
    <row r="14" ht="12.75" customHeight="1">
      <c r="A14" s="27"/>
      <c r="B14" s="27"/>
      <c r="C14" s="27"/>
      <c r="D14" s="27"/>
      <c r="E14" s="27"/>
      <c r="F14" s="27"/>
      <c r="G14" s="27"/>
      <c r="H14" s="27"/>
      <c r="I14" s="27"/>
      <c r="J14" s="27"/>
    </row>
    <row r="15" ht="18.0" customHeight="1">
      <c r="A15" s="28"/>
    </row>
    <row r="16" ht="12.75" customHeight="1">
      <c r="A16" s="27"/>
      <c r="B16" s="27"/>
      <c r="C16" s="27"/>
      <c r="D16" s="27"/>
      <c r="E16" s="27"/>
      <c r="F16" s="27"/>
      <c r="G16" s="27"/>
      <c r="H16" s="27"/>
      <c r="I16" s="27"/>
      <c r="J16" s="27"/>
    </row>
    <row r="17" ht="12.75" customHeight="1">
      <c r="A17" s="27"/>
      <c r="B17" s="27"/>
      <c r="C17" s="27"/>
      <c r="D17" s="27"/>
      <c r="E17" s="27"/>
      <c r="F17" s="27"/>
      <c r="G17" s="27"/>
      <c r="H17" s="27"/>
      <c r="I17" s="27"/>
      <c r="J17" s="27"/>
    </row>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202</v>
      </c>
      <c r="C7" s="44" t="s">
        <v>203</v>
      </c>
      <c r="D7" s="44" t="s">
        <v>204</v>
      </c>
      <c r="E7" s="44" t="s">
        <v>205</v>
      </c>
      <c r="F7" s="45" t="s">
        <v>206</v>
      </c>
      <c r="G7" s="46" t="s">
        <v>207</v>
      </c>
      <c r="H7" s="44" t="s">
        <v>9</v>
      </c>
      <c r="I7" s="44" t="s">
        <v>208</v>
      </c>
      <c r="J7" s="44" t="s">
        <v>209</v>
      </c>
      <c r="K7" s="10"/>
      <c r="L7" s="10"/>
      <c r="M7" s="10"/>
      <c r="N7" s="10"/>
      <c r="O7" s="10"/>
      <c r="P7" s="10"/>
      <c r="Q7" s="10"/>
      <c r="R7" s="10"/>
      <c r="S7" s="10"/>
      <c r="T7" s="10"/>
      <c r="U7" s="10"/>
      <c r="V7" s="10"/>
      <c r="W7" s="10"/>
      <c r="X7" s="10"/>
      <c r="Y7" s="10"/>
      <c r="Z7" s="10"/>
    </row>
    <row r="8" ht="104.25" customHeight="1">
      <c r="A8" s="58" t="s">
        <v>12</v>
      </c>
      <c r="B8" s="34" t="s">
        <v>56</v>
      </c>
      <c r="C8" s="40" t="s">
        <v>57</v>
      </c>
      <c r="D8" s="48" t="s">
        <v>96</v>
      </c>
      <c r="E8" s="60">
        <v>80000.0</v>
      </c>
      <c r="F8" s="60">
        <f t="shared" ref="F8:F10" si="1">E8*1.19</f>
        <v>95200</v>
      </c>
      <c r="G8" s="62">
        <v>20.0</v>
      </c>
      <c r="H8" s="35" t="s">
        <v>16</v>
      </c>
      <c r="I8" s="34" t="s">
        <v>40</v>
      </c>
      <c r="J8" s="14" t="s">
        <v>97</v>
      </c>
    </row>
    <row r="9" ht="131.25" customHeight="1">
      <c r="A9" s="58" t="s">
        <v>19</v>
      </c>
      <c r="B9" s="48" t="s">
        <v>98</v>
      </c>
      <c r="C9" s="40" t="s">
        <v>99</v>
      </c>
      <c r="D9" s="14" t="s">
        <v>100</v>
      </c>
      <c r="E9" s="59">
        <v>150000.0</v>
      </c>
      <c r="F9" s="60">
        <f t="shared" si="1"/>
        <v>178500</v>
      </c>
      <c r="G9" s="62">
        <v>37.0</v>
      </c>
      <c r="H9" s="35" t="s">
        <v>16</v>
      </c>
      <c r="I9" s="34" t="s">
        <v>40</v>
      </c>
      <c r="J9" s="14" t="s">
        <v>101</v>
      </c>
    </row>
    <row r="10" ht="103.5" customHeight="1">
      <c r="A10" s="58" t="s">
        <v>24</v>
      </c>
      <c r="B10" s="34" t="s">
        <v>102</v>
      </c>
      <c r="C10" s="40" t="s">
        <v>103</v>
      </c>
      <c r="D10" s="63" t="s">
        <v>104</v>
      </c>
      <c r="E10" s="59">
        <v>300000.0</v>
      </c>
      <c r="F10" s="60">
        <f t="shared" si="1"/>
        <v>357000</v>
      </c>
      <c r="G10" s="62">
        <v>75.0</v>
      </c>
      <c r="H10" s="35" t="s">
        <v>16</v>
      </c>
      <c r="I10" s="34" t="s">
        <v>40</v>
      </c>
      <c r="J10" s="63" t="s">
        <v>105</v>
      </c>
    </row>
    <row r="11" ht="15.0" hidden="1" customHeight="1">
      <c r="A11" s="25"/>
      <c r="B11" s="61"/>
      <c r="C11" s="61"/>
      <c r="D11" s="61"/>
      <c r="E11" s="61"/>
      <c r="F11" s="61"/>
      <c r="G11" s="61"/>
      <c r="H11" s="61"/>
      <c r="I11" s="61"/>
      <c r="J11" s="61"/>
    </row>
    <row r="12" ht="12.75" customHeight="1"/>
    <row r="13" ht="15.0" customHeight="1">
      <c r="A13" s="28"/>
    </row>
    <row r="14" ht="12.75" customHeight="1">
      <c r="A14" s="27"/>
      <c r="B14" s="27"/>
      <c r="C14" s="27"/>
      <c r="D14" s="27"/>
      <c r="E14" s="27"/>
      <c r="F14" s="27"/>
      <c r="G14" s="27"/>
      <c r="H14" s="27"/>
      <c r="I14" s="27"/>
      <c r="J14" s="27"/>
    </row>
    <row r="15" ht="21.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210</v>
      </c>
      <c r="C7" s="44" t="s">
        <v>211</v>
      </c>
      <c r="D7" s="44" t="s">
        <v>212</v>
      </c>
      <c r="E7" s="44" t="s">
        <v>213</v>
      </c>
      <c r="F7" s="45" t="s">
        <v>214</v>
      </c>
      <c r="G7" s="46" t="s">
        <v>215</v>
      </c>
      <c r="H7" s="44" t="s">
        <v>9</v>
      </c>
      <c r="I7" s="44" t="s">
        <v>216</v>
      </c>
      <c r="J7" s="44" t="s">
        <v>217</v>
      </c>
      <c r="K7" s="10"/>
      <c r="L7" s="10"/>
      <c r="M7" s="10"/>
      <c r="N7" s="10"/>
      <c r="O7" s="10"/>
      <c r="P7" s="10"/>
      <c r="Q7" s="10"/>
      <c r="R7" s="10"/>
      <c r="S7" s="10"/>
      <c r="T7" s="10"/>
      <c r="U7" s="10"/>
      <c r="V7" s="10"/>
      <c r="W7" s="10"/>
      <c r="X7" s="10"/>
      <c r="Y7" s="10"/>
      <c r="Z7" s="10"/>
    </row>
    <row r="8" ht="83.25" customHeight="1">
      <c r="A8" s="58" t="s">
        <v>12</v>
      </c>
      <c r="B8" s="81" t="s">
        <v>218</v>
      </c>
      <c r="C8" s="40" t="s">
        <v>219</v>
      </c>
      <c r="D8" s="63" t="s">
        <v>220</v>
      </c>
      <c r="E8" s="17">
        <v>800000.0</v>
      </c>
      <c r="F8" s="17">
        <f t="shared" ref="F8:F10" si="1">E8*1.19</f>
        <v>952000</v>
      </c>
      <c r="G8" s="17">
        <v>200.0</v>
      </c>
      <c r="H8" s="83" t="s">
        <v>16</v>
      </c>
      <c r="I8" s="81" t="s">
        <v>59</v>
      </c>
      <c r="J8" s="63" t="s">
        <v>221</v>
      </c>
    </row>
    <row r="9" ht="80.25" customHeight="1">
      <c r="A9" s="58" t="s">
        <v>19</v>
      </c>
      <c r="B9" s="81" t="s">
        <v>218</v>
      </c>
      <c r="C9" s="40" t="s">
        <v>219</v>
      </c>
      <c r="D9" s="63" t="s">
        <v>222</v>
      </c>
      <c r="E9" s="82">
        <v>1500000.0</v>
      </c>
      <c r="F9" s="17">
        <f t="shared" si="1"/>
        <v>1785000</v>
      </c>
      <c r="G9" s="17">
        <v>375.0</v>
      </c>
      <c r="H9" s="83" t="s">
        <v>16</v>
      </c>
      <c r="I9" s="81" t="s">
        <v>59</v>
      </c>
      <c r="J9" s="63" t="s">
        <v>223</v>
      </c>
    </row>
    <row r="10" ht="87.0" customHeight="1">
      <c r="A10" s="58" t="s">
        <v>24</v>
      </c>
      <c r="B10" s="81" t="s">
        <v>218</v>
      </c>
      <c r="C10" s="40" t="s">
        <v>219</v>
      </c>
      <c r="D10" s="63" t="s">
        <v>224</v>
      </c>
      <c r="E10" s="17">
        <v>3000000.0</v>
      </c>
      <c r="F10" s="17">
        <f t="shared" si="1"/>
        <v>3570000</v>
      </c>
      <c r="G10" s="17">
        <v>750.0</v>
      </c>
      <c r="H10" s="83" t="s">
        <v>16</v>
      </c>
      <c r="I10" s="81" t="s">
        <v>59</v>
      </c>
      <c r="J10" s="63" t="s">
        <v>225</v>
      </c>
    </row>
    <row r="11" ht="18.75" hidden="1" customHeight="1">
      <c r="A11" s="25"/>
      <c r="B11" s="61"/>
      <c r="C11" s="40" t="s">
        <v>226</v>
      </c>
      <c r="D11" s="61"/>
      <c r="E11" s="61"/>
      <c r="F11" s="61"/>
      <c r="G11" s="61"/>
      <c r="H11" s="83" t="s">
        <v>16</v>
      </c>
      <c r="I11" s="61"/>
      <c r="J11" s="61"/>
    </row>
    <row r="12" ht="0.75" customHeight="1">
      <c r="C12" s="67"/>
    </row>
    <row r="13" ht="15.0" customHeight="1">
      <c r="A13" s="28"/>
    </row>
    <row r="14" ht="12.75" customHeight="1"/>
    <row r="15" ht="15.7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227</v>
      </c>
      <c r="C7" s="44" t="s">
        <v>228</v>
      </c>
      <c r="D7" s="44" t="s">
        <v>229</v>
      </c>
      <c r="E7" s="44" t="s">
        <v>230</v>
      </c>
      <c r="F7" s="45" t="s">
        <v>231</v>
      </c>
      <c r="G7" s="46" t="s">
        <v>232</v>
      </c>
      <c r="H7" s="44" t="s">
        <v>9</v>
      </c>
      <c r="I7" s="44" t="s">
        <v>233</v>
      </c>
      <c r="J7" s="44" t="s">
        <v>234</v>
      </c>
      <c r="K7" s="10"/>
      <c r="L7" s="10"/>
      <c r="M7" s="10"/>
      <c r="N7" s="10"/>
      <c r="O7" s="10"/>
      <c r="P7" s="10"/>
      <c r="Q7" s="10"/>
      <c r="R7" s="10"/>
      <c r="S7" s="10"/>
      <c r="T7" s="10"/>
      <c r="U7" s="10"/>
      <c r="V7" s="10"/>
      <c r="W7" s="10"/>
      <c r="X7" s="10"/>
      <c r="Y7" s="10"/>
      <c r="Z7" s="10"/>
    </row>
    <row r="8" ht="73.5" customHeight="1">
      <c r="A8" s="58" t="s">
        <v>12</v>
      </c>
      <c r="B8" s="81" t="s">
        <v>235</v>
      </c>
      <c r="C8" s="40" t="s">
        <v>236</v>
      </c>
      <c r="D8" s="63" t="s">
        <v>237</v>
      </c>
      <c r="E8" s="17">
        <v>800000.0</v>
      </c>
      <c r="F8" s="17">
        <f t="shared" ref="F8:F10" si="1">E8*1.19</f>
        <v>952000</v>
      </c>
      <c r="G8" s="17">
        <v>200.0</v>
      </c>
      <c r="H8" s="85" t="s">
        <v>16</v>
      </c>
      <c r="I8" s="81" t="s">
        <v>59</v>
      </c>
      <c r="J8" s="86" t="s">
        <v>238</v>
      </c>
    </row>
    <row r="9" ht="50.25" customHeight="1">
      <c r="A9" s="58" t="s">
        <v>19</v>
      </c>
      <c r="B9" s="81" t="s">
        <v>235</v>
      </c>
      <c r="C9" s="40" t="s">
        <v>236</v>
      </c>
      <c r="D9" s="63" t="s">
        <v>239</v>
      </c>
      <c r="E9" s="17">
        <v>150000.0</v>
      </c>
      <c r="F9" s="17">
        <f t="shared" si="1"/>
        <v>178500</v>
      </c>
      <c r="G9" s="17">
        <v>375.0</v>
      </c>
      <c r="H9" s="85" t="s">
        <v>16</v>
      </c>
      <c r="I9" s="81" t="s">
        <v>59</v>
      </c>
      <c r="J9" s="86" t="s">
        <v>240</v>
      </c>
    </row>
    <row r="10" ht="96.0" customHeight="1">
      <c r="A10" s="58" t="s">
        <v>24</v>
      </c>
      <c r="B10" s="81" t="s">
        <v>235</v>
      </c>
      <c r="C10" s="40" t="s">
        <v>236</v>
      </c>
      <c r="D10" s="63" t="s">
        <v>241</v>
      </c>
      <c r="E10" s="17">
        <v>3000000.0</v>
      </c>
      <c r="F10" s="17">
        <f t="shared" si="1"/>
        <v>3570000</v>
      </c>
      <c r="G10" s="17">
        <v>750.0</v>
      </c>
      <c r="H10" s="85" t="s">
        <v>16</v>
      </c>
      <c r="I10" s="81" t="s">
        <v>59</v>
      </c>
      <c r="J10" s="86" t="s">
        <v>242</v>
      </c>
    </row>
    <row r="11" ht="15.0" hidden="1" customHeight="1">
      <c r="A11" s="25"/>
      <c r="B11" s="61"/>
      <c r="C11" s="61"/>
      <c r="D11" s="61"/>
      <c r="E11" s="61"/>
      <c r="F11" s="61"/>
      <c r="G11" s="61"/>
      <c r="H11" s="85" t="s">
        <v>16</v>
      </c>
      <c r="I11" s="61"/>
      <c r="J11" s="61"/>
    </row>
    <row r="12" ht="12.75" customHeight="1"/>
    <row r="13" ht="12.0" customHeight="1">
      <c r="A13" s="28"/>
    </row>
    <row r="14" ht="12.75" customHeight="1">
      <c r="A14" s="27"/>
      <c r="B14" s="27"/>
      <c r="C14" s="27"/>
      <c r="D14" s="27"/>
      <c r="E14" s="27"/>
      <c r="F14" s="27"/>
      <c r="G14" s="27"/>
      <c r="H14" s="27"/>
      <c r="I14" s="27"/>
      <c r="J14" s="27"/>
    </row>
    <row r="15" ht="18.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0</v>
      </c>
    </row>
    <row r="3" ht="12.75" customHeight="1"/>
    <row r="4" ht="12.75" customHeight="1"/>
    <row r="5" ht="43.5" customHeight="1">
      <c r="A5" s="64">
        <v>0.0</v>
      </c>
      <c r="B5" s="4"/>
      <c r="C5" s="4"/>
      <c r="D5" s="4"/>
      <c r="E5" s="4"/>
      <c r="F5" s="4"/>
      <c r="G5" s="4"/>
      <c r="H5" s="4"/>
      <c r="I5" s="4"/>
      <c r="J5" s="5"/>
    </row>
    <row r="6" ht="15.75" customHeight="1"/>
    <row r="7" ht="75.75" customHeight="1">
      <c r="A7" s="6" t="s">
        <v>2</v>
      </c>
      <c r="B7" s="44" t="s">
        <v>243</v>
      </c>
      <c r="C7" s="44" t="s">
        <v>244</v>
      </c>
      <c r="D7" s="44" t="s">
        <v>245</v>
      </c>
      <c r="E7" s="44" t="s">
        <v>246</v>
      </c>
      <c r="F7" s="45" t="s">
        <v>247</v>
      </c>
      <c r="G7" s="46" t="s">
        <v>248</v>
      </c>
      <c r="H7" s="44" t="s">
        <v>9</v>
      </c>
      <c r="I7" s="44" t="s">
        <v>249</v>
      </c>
      <c r="J7" s="44" t="s">
        <v>250</v>
      </c>
      <c r="K7" s="10"/>
      <c r="L7" s="10"/>
      <c r="M7" s="10"/>
      <c r="N7" s="10"/>
      <c r="O7" s="10"/>
      <c r="P7" s="10"/>
      <c r="Q7" s="10"/>
      <c r="R7" s="10"/>
      <c r="S7" s="10"/>
      <c r="T7" s="10"/>
      <c r="U7" s="10"/>
      <c r="V7" s="10"/>
      <c r="W7" s="10"/>
      <c r="X7" s="10"/>
      <c r="Y7" s="10"/>
      <c r="Z7" s="10"/>
    </row>
    <row r="8" ht="50.25" customHeight="1">
      <c r="A8" s="58" t="s">
        <v>12</v>
      </c>
      <c r="B8" s="81" t="s">
        <v>251</v>
      </c>
      <c r="C8" s="40" t="s">
        <v>252</v>
      </c>
      <c r="D8" s="63" t="s">
        <v>253</v>
      </c>
      <c r="E8" s="87">
        <v>109900.0</v>
      </c>
      <c r="F8" s="88">
        <f t="shared" ref="F8:F10" si="1">E8*1.19</f>
        <v>130781</v>
      </c>
      <c r="G8" s="89">
        <f t="shared" ref="G8:G10" si="2">(F8+E8)/3900</f>
        <v>61.71307692</v>
      </c>
      <c r="H8" s="85">
        <f t="shared" ref="H8:H10" si="3">G8*3900</f>
        <v>240681</v>
      </c>
      <c r="I8" s="81" t="s">
        <v>40</v>
      </c>
      <c r="J8" s="63" t="s">
        <v>254</v>
      </c>
    </row>
    <row r="9" ht="50.25" customHeight="1">
      <c r="A9" s="58" t="s">
        <v>19</v>
      </c>
      <c r="B9" s="81" t="s">
        <v>255</v>
      </c>
      <c r="C9" s="40" t="s">
        <v>256</v>
      </c>
      <c r="D9" s="63" t="s">
        <v>257</v>
      </c>
      <c r="E9" s="87">
        <v>90000.0</v>
      </c>
      <c r="F9" s="88">
        <f t="shared" si="1"/>
        <v>107100</v>
      </c>
      <c r="G9" s="89">
        <f t="shared" si="2"/>
        <v>50.53846154</v>
      </c>
      <c r="H9" s="85">
        <f t="shared" si="3"/>
        <v>197100</v>
      </c>
      <c r="I9" s="81" t="s">
        <v>40</v>
      </c>
      <c r="J9" s="63" t="s">
        <v>258</v>
      </c>
    </row>
    <row r="10" ht="50.25" customHeight="1">
      <c r="A10" s="58" t="s">
        <v>24</v>
      </c>
      <c r="B10" s="81" t="s">
        <v>259</v>
      </c>
      <c r="C10" s="40" t="s">
        <v>260</v>
      </c>
      <c r="D10" s="63" t="s">
        <v>261</v>
      </c>
      <c r="E10" s="87">
        <v>46000.0</v>
      </c>
      <c r="F10" s="88">
        <f t="shared" si="1"/>
        <v>54740</v>
      </c>
      <c r="G10" s="89">
        <f t="shared" si="2"/>
        <v>25.83076923</v>
      </c>
      <c r="H10" s="85">
        <f t="shared" si="3"/>
        <v>100740</v>
      </c>
      <c r="I10" s="81" t="s">
        <v>40</v>
      </c>
      <c r="J10" s="81" t="s">
        <v>262</v>
      </c>
    </row>
    <row r="11" ht="15.0" hidden="1" customHeight="1">
      <c r="A11" s="25"/>
      <c r="B11" s="61"/>
      <c r="C11" s="61"/>
      <c r="D11" s="61"/>
      <c r="E11" s="61"/>
      <c r="F11" s="61"/>
      <c r="G11" s="61"/>
      <c r="H11" s="61"/>
      <c r="I11" s="61"/>
      <c r="J11" s="61"/>
    </row>
    <row r="12" ht="12.75" customHeight="1"/>
    <row r="13" ht="12.75" customHeight="1">
      <c r="A13" s="28"/>
    </row>
    <row r="14" ht="12.75" customHeight="1">
      <c r="A14" s="27"/>
      <c r="B14" s="27"/>
      <c r="C14" s="27"/>
      <c r="D14" s="27"/>
      <c r="E14" s="27"/>
      <c r="F14" s="27"/>
      <c r="G14" s="27"/>
      <c r="H14" s="27"/>
      <c r="I14" s="27"/>
      <c r="J14" s="27"/>
    </row>
    <row r="15" ht="12.0"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is_advertising=true&amp;searchVariation=MCO23026811&amp;position=1&amp;search_layout=stack&amp;type=pad&amp;tracking_id=0694a9e8-3b57-4bb8-af1f-b5fae4bf605b&amp;is_advertising=true&amp;ad_domain=VQCATCORE_LST&amp;ad_position=1&amp;ad_click_id=YjRlZTZiMmUtNzVkYS00NDYyLWJjMmUtNzBmZjkzNTY3Yzlj"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263</v>
      </c>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264</v>
      </c>
      <c r="C7" s="44" t="s">
        <v>265</v>
      </c>
      <c r="D7" s="44" t="s">
        <v>266</v>
      </c>
      <c r="E7" s="44" t="s">
        <v>267</v>
      </c>
      <c r="F7" s="45" t="s">
        <v>268</v>
      </c>
      <c r="G7" s="46" t="s">
        <v>269</v>
      </c>
      <c r="H7" s="44" t="s">
        <v>9</v>
      </c>
      <c r="I7" s="44" t="s">
        <v>270</v>
      </c>
      <c r="J7" s="44" t="s">
        <v>271</v>
      </c>
      <c r="K7" s="10"/>
      <c r="L7" s="10"/>
      <c r="M7" s="10"/>
      <c r="N7" s="10"/>
      <c r="O7" s="10"/>
      <c r="P7" s="10"/>
      <c r="Q7" s="10"/>
      <c r="R7" s="10"/>
      <c r="S7" s="10"/>
      <c r="T7" s="10"/>
      <c r="U7" s="10"/>
      <c r="V7" s="10"/>
      <c r="W7" s="10"/>
      <c r="X7" s="10"/>
      <c r="Y7" s="10"/>
      <c r="Z7" s="10"/>
    </row>
    <row r="8" ht="80.25" customHeight="1">
      <c r="A8" s="58" t="s">
        <v>12</v>
      </c>
      <c r="B8" s="34" t="s">
        <v>134</v>
      </c>
      <c r="C8" s="40" t="s">
        <v>135</v>
      </c>
      <c r="D8" s="34" t="s">
        <v>136</v>
      </c>
      <c r="E8" s="59">
        <v>20000.0</v>
      </c>
      <c r="F8" s="60">
        <f t="shared" ref="F8:F10" si="1">E8*1.19</f>
        <v>23800</v>
      </c>
      <c r="G8" s="75">
        <v>5.0</v>
      </c>
      <c r="H8" s="76" t="s">
        <v>16</v>
      </c>
      <c r="I8" s="71" t="s">
        <v>59</v>
      </c>
      <c r="J8" s="77" t="s">
        <v>137</v>
      </c>
    </row>
    <row r="9" ht="81.75" customHeight="1">
      <c r="A9" s="58" t="s">
        <v>19</v>
      </c>
      <c r="B9" s="48" t="s">
        <v>138</v>
      </c>
      <c r="C9" s="40" t="s">
        <v>139</v>
      </c>
      <c r="D9" s="34" t="s">
        <v>140</v>
      </c>
      <c r="E9" s="60">
        <v>60000.0</v>
      </c>
      <c r="F9" s="60">
        <f t="shared" si="1"/>
        <v>71400</v>
      </c>
      <c r="G9" s="75">
        <v>15.0</v>
      </c>
      <c r="H9" s="76" t="s">
        <v>16</v>
      </c>
      <c r="I9" s="71" t="s">
        <v>59</v>
      </c>
      <c r="J9" s="78" t="s">
        <v>141</v>
      </c>
    </row>
    <row r="10" ht="63.0" customHeight="1">
      <c r="A10" s="58" t="s">
        <v>24</v>
      </c>
      <c r="B10" s="34" t="s">
        <v>142</v>
      </c>
      <c r="C10" s="40" t="s">
        <v>143</v>
      </c>
      <c r="D10" s="34" t="s">
        <v>144</v>
      </c>
      <c r="E10" s="59">
        <v>120000.0</v>
      </c>
      <c r="F10" s="60">
        <f t="shared" si="1"/>
        <v>142800</v>
      </c>
      <c r="G10" s="75">
        <v>30.0</v>
      </c>
      <c r="H10" s="76" t="s">
        <v>16</v>
      </c>
      <c r="I10" s="71" t="s">
        <v>59</v>
      </c>
      <c r="J10" s="79" t="s">
        <v>145</v>
      </c>
    </row>
    <row r="11" ht="15.0" hidden="1" customHeight="1">
      <c r="A11" s="25"/>
      <c r="B11" s="61"/>
      <c r="C11" s="61"/>
      <c r="D11" s="61"/>
      <c r="E11" s="61"/>
      <c r="F11" s="61"/>
      <c r="G11" s="61"/>
      <c r="H11" s="61"/>
      <c r="I11" s="61"/>
      <c r="J11" s="61"/>
    </row>
    <row r="12" ht="12.75" customHeight="1"/>
    <row r="13" ht="14.25" customHeight="1">
      <c r="A13" s="28"/>
    </row>
    <row r="14" ht="12.75" customHeight="1">
      <c r="A14" s="27"/>
      <c r="B14" s="27"/>
      <c r="C14" s="27"/>
      <c r="D14" s="27"/>
      <c r="E14" s="27"/>
      <c r="F14" s="27"/>
      <c r="G14" s="27"/>
      <c r="H14" s="27"/>
      <c r="I14" s="27"/>
      <c r="J14" s="27"/>
    </row>
    <row r="15" ht="13.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272</v>
      </c>
      <c r="C7" s="44" t="s">
        <v>273</v>
      </c>
      <c r="D7" s="44" t="s">
        <v>274</v>
      </c>
      <c r="E7" s="44" t="s">
        <v>275</v>
      </c>
      <c r="F7" s="45" t="s">
        <v>276</v>
      </c>
      <c r="G7" s="46" t="s">
        <v>277</v>
      </c>
      <c r="H7" s="44" t="s">
        <v>9</v>
      </c>
      <c r="I7" s="44" t="s">
        <v>278</v>
      </c>
      <c r="J7" s="44" t="s">
        <v>279</v>
      </c>
      <c r="K7" s="10"/>
      <c r="L7" s="10"/>
      <c r="M7" s="10"/>
      <c r="N7" s="10"/>
      <c r="O7" s="10"/>
      <c r="P7" s="10"/>
      <c r="Q7" s="10"/>
      <c r="R7" s="10"/>
      <c r="S7" s="10"/>
      <c r="T7" s="10"/>
      <c r="U7" s="10"/>
      <c r="V7" s="10"/>
      <c r="W7" s="10"/>
      <c r="X7" s="10"/>
      <c r="Y7" s="10"/>
      <c r="Z7" s="10"/>
    </row>
    <row r="8" ht="50.25" customHeight="1">
      <c r="A8" s="58" t="s">
        <v>12</v>
      </c>
      <c r="B8" s="81" t="s">
        <v>280</v>
      </c>
      <c r="C8" s="81" t="s">
        <v>281</v>
      </c>
      <c r="D8" s="81" t="s">
        <v>282</v>
      </c>
      <c r="E8" s="81">
        <v>0.0</v>
      </c>
      <c r="F8" s="81">
        <v>0.0</v>
      </c>
      <c r="G8" s="81">
        <v>0.0</v>
      </c>
      <c r="H8" s="76" t="s">
        <v>16</v>
      </c>
      <c r="I8" s="90" t="s">
        <v>59</v>
      </c>
      <c r="J8" s="91" t="s">
        <v>283</v>
      </c>
    </row>
    <row r="9" ht="220.5" customHeight="1">
      <c r="A9" s="58" t="s">
        <v>19</v>
      </c>
      <c r="B9" s="81" t="s">
        <v>284</v>
      </c>
      <c r="C9" s="92" t="s">
        <v>285</v>
      </c>
      <c r="D9" s="81" t="s">
        <v>286</v>
      </c>
      <c r="E9" s="93">
        <v>1500000.0</v>
      </c>
      <c r="F9" s="94">
        <f t="shared" ref="F9:F10" si="1">E9*1.19</f>
        <v>1785000</v>
      </c>
      <c r="G9" s="94">
        <v>375.0</v>
      </c>
      <c r="H9" s="76" t="s">
        <v>16</v>
      </c>
      <c r="I9" s="90" t="s">
        <v>59</v>
      </c>
      <c r="J9" s="95" t="s">
        <v>287</v>
      </c>
    </row>
    <row r="10" ht="215.25" customHeight="1">
      <c r="A10" s="58" t="s">
        <v>24</v>
      </c>
      <c r="B10" s="90" t="s">
        <v>288</v>
      </c>
      <c r="C10" s="92" t="s">
        <v>285</v>
      </c>
      <c r="D10" s="96" t="s">
        <v>289</v>
      </c>
      <c r="E10" s="93">
        <v>5000000.0</v>
      </c>
      <c r="F10" s="94">
        <f t="shared" si="1"/>
        <v>5950000</v>
      </c>
      <c r="G10" s="94">
        <v>1250.0</v>
      </c>
      <c r="H10" s="76" t="s">
        <v>16</v>
      </c>
      <c r="I10" s="90" t="s">
        <v>59</v>
      </c>
      <c r="J10" s="95" t="s">
        <v>290</v>
      </c>
    </row>
    <row r="11" ht="84.75" hidden="1" customHeight="1">
      <c r="A11" s="25"/>
      <c r="B11" s="61"/>
      <c r="C11" s="61"/>
      <c r="D11" s="61"/>
      <c r="E11" s="61"/>
      <c r="F11" s="61"/>
      <c r="G11" s="61"/>
      <c r="H11" s="61"/>
      <c r="I11" s="61"/>
      <c r="J11" s="61"/>
    </row>
    <row r="12" ht="12.75" customHeight="1"/>
    <row r="13" ht="15.75" customHeight="1">
      <c r="A13" s="28"/>
    </row>
    <row r="14" ht="12.75" customHeight="1">
      <c r="A14" s="27"/>
      <c r="B14" s="27"/>
      <c r="C14" s="27"/>
      <c r="D14" s="27"/>
      <c r="E14" s="27"/>
      <c r="F14" s="27"/>
      <c r="G14" s="27"/>
      <c r="H14" s="27"/>
      <c r="I14" s="27"/>
      <c r="J14" s="27"/>
    </row>
    <row r="15" ht="16.5" customHeight="1">
      <c r="A15" s="28"/>
    </row>
    <row r="16" ht="12.75" customHeight="1">
      <c r="A16" s="27"/>
      <c r="B16" s="27"/>
      <c r="C16" s="27"/>
      <c r="D16" s="27"/>
      <c r="E16" s="27"/>
      <c r="F16" s="27"/>
      <c r="G16" s="27"/>
      <c r="H16" s="27"/>
      <c r="I16" s="27"/>
      <c r="J16" s="27"/>
    </row>
    <row r="17" ht="12.75" customHeight="1">
      <c r="A17" s="27"/>
      <c r="B17" s="27"/>
      <c r="C17" s="27"/>
      <c r="D17" s="27"/>
      <c r="E17" s="27"/>
      <c r="F17" s="27"/>
      <c r="G17" s="27"/>
      <c r="H17" s="27"/>
      <c r="I17" s="27"/>
      <c r="J17" s="27"/>
    </row>
    <row r="18" ht="12.75" customHeight="1">
      <c r="A18" s="27"/>
      <c r="B18" s="27"/>
      <c r="C18" s="27"/>
      <c r="D18" s="27"/>
      <c r="E18" s="27"/>
      <c r="F18" s="27"/>
      <c r="G18" s="27"/>
      <c r="H18" s="27"/>
      <c r="I18" s="27"/>
      <c r="J18" s="27"/>
    </row>
    <row r="19" ht="12.75" customHeight="1">
      <c r="A19" s="27"/>
      <c r="B19" s="27"/>
      <c r="C19" s="27"/>
      <c r="D19" s="27"/>
      <c r="E19" s="27"/>
      <c r="F19" s="27"/>
      <c r="G19" s="27"/>
      <c r="H19" s="27"/>
      <c r="I19" s="27"/>
      <c r="J19" s="27"/>
    </row>
    <row r="20" ht="12.75" customHeight="1">
      <c r="A20" s="27"/>
      <c r="B20" s="27"/>
      <c r="C20" s="27"/>
      <c r="D20" s="27"/>
      <c r="E20" s="27"/>
      <c r="F20" s="27"/>
      <c r="G20" s="27"/>
      <c r="H20" s="27"/>
      <c r="I20" s="27"/>
      <c r="J20" s="27"/>
    </row>
    <row r="21" ht="12.75" customHeight="1">
      <c r="A21" s="27"/>
      <c r="B21" s="27"/>
      <c r="C21" s="27"/>
      <c r="D21" s="27"/>
      <c r="E21" s="27"/>
      <c r="F21" s="27"/>
      <c r="G21" s="27"/>
      <c r="H21" s="27"/>
      <c r="I21" s="27"/>
      <c r="J21" s="27"/>
    </row>
    <row r="22" ht="12.75" customHeight="1">
      <c r="A22" s="27"/>
      <c r="B22" s="27"/>
      <c r="C22" s="27"/>
      <c r="D22" s="27"/>
      <c r="E22" s="27"/>
      <c r="F22" s="27"/>
      <c r="G22" s="27"/>
      <c r="H22" s="27"/>
      <c r="I22" s="27"/>
      <c r="J22" s="27"/>
    </row>
    <row r="23" ht="12.75" customHeight="1">
      <c r="A23" s="27"/>
      <c r="B23" s="27"/>
      <c r="C23" s="27"/>
      <c r="D23" s="27"/>
      <c r="E23" s="27"/>
      <c r="F23" s="27"/>
      <c r="G23" s="27"/>
      <c r="H23" s="27"/>
      <c r="I23" s="27"/>
      <c r="J23" s="27"/>
    </row>
    <row r="24" ht="12.75" customHeight="1">
      <c r="A24" s="27"/>
      <c r="B24" s="27"/>
      <c r="C24" s="27"/>
      <c r="D24" s="27"/>
      <c r="E24" s="27"/>
      <c r="F24" s="27"/>
      <c r="G24" s="27"/>
      <c r="H24" s="27"/>
      <c r="I24" s="27"/>
      <c r="J24" s="27"/>
    </row>
    <row r="25" ht="12.75" customHeight="1">
      <c r="A25" s="27"/>
      <c r="B25" s="27"/>
      <c r="C25" s="27"/>
      <c r="D25" s="27"/>
      <c r="E25" s="27"/>
      <c r="F25" s="27"/>
      <c r="G25" s="27"/>
      <c r="H25" s="27"/>
      <c r="I25" s="27"/>
      <c r="J25" s="27"/>
    </row>
    <row r="26" ht="12.75" customHeight="1">
      <c r="A26" s="27"/>
      <c r="B26" s="27"/>
      <c r="C26" s="27"/>
      <c r="D26" s="29"/>
      <c r="E26" s="29"/>
      <c r="F26" s="1"/>
      <c r="G26" s="1"/>
      <c r="H26" s="27"/>
      <c r="I26" s="27"/>
      <c r="J26" s="27"/>
    </row>
    <row r="27" ht="12.75" customHeight="1">
      <c r="A27" s="27"/>
      <c r="B27" s="27"/>
      <c r="C27" s="27"/>
      <c r="D27" s="27"/>
      <c r="E27" s="27"/>
      <c r="F27" s="27"/>
      <c r="G27" s="27"/>
      <c r="H27" s="27"/>
      <c r="I27" s="27"/>
      <c r="J27" s="27"/>
    </row>
    <row r="28" ht="12.75" customHeight="1">
      <c r="A28" s="27"/>
      <c r="B28" s="27"/>
      <c r="C28" s="27"/>
      <c r="D28" s="27"/>
      <c r="E28" s="27"/>
      <c r="F28" s="27"/>
      <c r="G28" s="27"/>
      <c r="H28" s="27"/>
      <c r="I28" s="27"/>
      <c r="J28" s="27"/>
    </row>
    <row r="29" ht="12.75" customHeight="1">
      <c r="A29" s="27"/>
      <c r="B29" s="27"/>
      <c r="C29" s="27"/>
      <c r="D29" s="27"/>
      <c r="E29" s="27"/>
      <c r="F29" s="27"/>
      <c r="G29" s="27"/>
      <c r="H29" s="27"/>
      <c r="I29" s="27"/>
      <c r="J29" s="27"/>
    </row>
    <row r="30" ht="12.75" customHeight="1">
      <c r="A30" s="27"/>
      <c r="B30" s="27"/>
      <c r="C30" s="27"/>
      <c r="D30" s="27"/>
      <c r="E30" s="27"/>
      <c r="F30" s="27"/>
      <c r="G30" s="27"/>
      <c r="H30" s="27"/>
      <c r="I30" s="27"/>
      <c r="J30" s="27"/>
    </row>
    <row r="31" ht="12.75" customHeight="1">
      <c r="A31" s="27"/>
      <c r="B31" s="27"/>
      <c r="C31" s="27"/>
      <c r="D31" s="27"/>
      <c r="E31" s="27"/>
      <c r="F31" s="27"/>
      <c r="G31" s="27"/>
      <c r="H31" s="27"/>
      <c r="I31" s="27"/>
      <c r="J31" s="27"/>
    </row>
    <row r="32" ht="12.75" customHeight="1">
      <c r="A32" s="27"/>
      <c r="B32" s="27"/>
      <c r="C32" s="27"/>
      <c r="D32" s="27"/>
      <c r="E32" s="27"/>
      <c r="F32" s="27"/>
      <c r="G32" s="27"/>
      <c r="H32" s="27"/>
      <c r="I32" s="27"/>
      <c r="J32" s="27"/>
    </row>
    <row r="33" ht="12.75" customHeight="1">
      <c r="A33" s="27"/>
      <c r="B33" s="27"/>
      <c r="C33" s="27"/>
      <c r="D33" s="27"/>
      <c r="E33" s="27"/>
      <c r="F33" s="27"/>
      <c r="G33" s="27"/>
      <c r="H33" s="27"/>
      <c r="I33" s="27"/>
      <c r="J33" s="27"/>
    </row>
    <row r="34" ht="12.75" customHeight="1">
      <c r="A34" s="27"/>
      <c r="B34" s="27"/>
      <c r="C34" s="27"/>
      <c r="D34" s="27"/>
      <c r="E34" s="27"/>
      <c r="F34" s="27"/>
      <c r="G34" s="27"/>
      <c r="H34" s="27"/>
      <c r="I34" s="27"/>
      <c r="J34" s="27"/>
    </row>
    <row r="35" ht="12.75" customHeight="1">
      <c r="A35" s="27"/>
      <c r="B35" s="27"/>
      <c r="C35" s="27"/>
      <c r="D35" s="27"/>
      <c r="E35" s="27"/>
      <c r="F35" s="27"/>
      <c r="G35" s="27"/>
      <c r="H35" s="27"/>
      <c r="I35" s="27"/>
      <c r="J35" s="27"/>
    </row>
    <row r="36" ht="12.75" customHeight="1">
      <c r="A36" s="27"/>
      <c r="B36" s="27"/>
      <c r="C36" s="27"/>
      <c r="D36" s="27"/>
      <c r="E36" s="27"/>
      <c r="F36" s="27"/>
      <c r="G36" s="27"/>
      <c r="H36" s="27"/>
      <c r="I36" s="27"/>
      <c r="J36" s="27"/>
    </row>
    <row r="37" ht="12.75" customHeight="1">
      <c r="A37" s="27"/>
      <c r="B37" s="27"/>
      <c r="C37" s="27"/>
      <c r="D37" s="27"/>
      <c r="E37" s="27"/>
      <c r="F37" s="27"/>
      <c r="G37" s="27"/>
      <c r="H37" s="27"/>
      <c r="I37" s="27"/>
      <c r="J37" s="27"/>
    </row>
    <row r="38" ht="12.75" customHeight="1">
      <c r="A38" s="27"/>
      <c r="B38" s="27"/>
      <c r="C38" s="27"/>
      <c r="D38" s="27"/>
      <c r="E38" s="27"/>
      <c r="F38" s="27"/>
      <c r="G38" s="27"/>
      <c r="H38" s="27"/>
      <c r="I38" s="27"/>
      <c r="J38" s="27"/>
    </row>
    <row r="39" ht="12.75" customHeight="1">
      <c r="A39" s="27"/>
      <c r="B39" s="27"/>
      <c r="C39" s="27"/>
      <c r="D39" s="27"/>
      <c r="E39" s="27"/>
      <c r="F39" s="27"/>
      <c r="G39" s="27"/>
      <c r="H39" s="27"/>
      <c r="I39" s="27"/>
      <c r="J39" s="27"/>
    </row>
    <row r="40" ht="12.75" customHeight="1">
      <c r="A40" s="27"/>
      <c r="B40" s="27"/>
      <c r="C40" s="27"/>
      <c r="D40" s="27"/>
      <c r="E40" s="27"/>
      <c r="F40" s="27"/>
      <c r="G40" s="27"/>
      <c r="H40" s="27"/>
      <c r="I40" s="27"/>
      <c r="J40" s="27"/>
    </row>
    <row r="41" ht="12.75" customHeight="1">
      <c r="A41" s="27"/>
      <c r="B41" s="27"/>
      <c r="C41" s="27"/>
      <c r="D41" s="27"/>
      <c r="E41" s="27"/>
      <c r="F41" s="27"/>
      <c r="G41" s="27"/>
      <c r="H41" s="27"/>
      <c r="I41" s="27"/>
      <c r="J41" s="27"/>
    </row>
    <row r="42" ht="12.75" customHeight="1">
      <c r="A42" s="27"/>
      <c r="B42" s="27"/>
      <c r="C42" s="27"/>
      <c r="D42" s="27"/>
      <c r="E42" s="27"/>
      <c r="F42" s="27"/>
      <c r="G42" s="27"/>
      <c r="H42" s="27"/>
      <c r="I42" s="27"/>
      <c r="J42" s="27"/>
    </row>
    <row r="43" ht="12.75" customHeight="1">
      <c r="A43" s="27"/>
      <c r="B43" s="27"/>
      <c r="C43" s="27"/>
      <c r="D43" s="27"/>
      <c r="E43" s="27"/>
      <c r="F43" s="27"/>
      <c r="G43" s="27"/>
      <c r="H43" s="27"/>
      <c r="I43" s="27"/>
      <c r="J43" s="27"/>
    </row>
    <row r="44" ht="12.75" customHeight="1">
      <c r="A44" s="27"/>
      <c r="B44" s="27"/>
      <c r="C44" s="27"/>
      <c r="D44" s="27"/>
      <c r="E44" s="27"/>
      <c r="F44" s="27"/>
      <c r="G44" s="27"/>
      <c r="H44" s="27"/>
      <c r="I44" s="27"/>
      <c r="J44" s="27"/>
    </row>
    <row r="45" ht="12.75" customHeight="1">
      <c r="A45" s="27"/>
      <c r="B45" s="27"/>
      <c r="C45" s="27"/>
      <c r="D45" s="27"/>
      <c r="E45" s="27"/>
      <c r="F45" s="27"/>
      <c r="G45" s="27"/>
      <c r="H45" s="27"/>
      <c r="I45" s="27"/>
      <c r="J45" s="27"/>
    </row>
    <row r="46" ht="12.75" customHeight="1">
      <c r="A46" s="27"/>
      <c r="B46" s="27"/>
      <c r="C46" s="27"/>
      <c r="D46" s="27"/>
      <c r="E46" s="27"/>
      <c r="F46" s="27"/>
      <c r="G46" s="27"/>
      <c r="H46" s="27"/>
      <c r="I46" s="27"/>
      <c r="J46" s="27"/>
    </row>
    <row r="47" ht="12.75" customHeight="1">
      <c r="A47" s="27"/>
      <c r="B47" s="27"/>
      <c r="C47" s="27"/>
      <c r="D47" s="27"/>
      <c r="E47" s="27"/>
      <c r="F47" s="27"/>
      <c r="G47" s="27"/>
      <c r="H47" s="27"/>
      <c r="I47" s="27"/>
      <c r="J47" s="27"/>
    </row>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291</v>
      </c>
      <c r="C7" s="44" t="s">
        <v>292</v>
      </c>
      <c r="D7" s="44" t="s">
        <v>293</v>
      </c>
      <c r="E7" s="44" t="s">
        <v>294</v>
      </c>
      <c r="F7" s="45" t="s">
        <v>295</v>
      </c>
      <c r="G7" s="46" t="s">
        <v>296</v>
      </c>
      <c r="H7" s="44" t="s">
        <v>9</v>
      </c>
      <c r="I7" s="44" t="s">
        <v>297</v>
      </c>
      <c r="J7" s="44" t="s">
        <v>298</v>
      </c>
      <c r="K7" s="10"/>
      <c r="L7" s="10"/>
      <c r="M7" s="10"/>
      <c r="N7" s="10"/>
      <c r="O7" s="10"/>
      <c r="P7" s="10"/>
      <c r="Q7" s="10"/>
      <c r="R7" s="10"/>
      <c r="S7" s="10"/>
      <c r="T7" s="10"/>
      <c r="U7" s="10"/>
      <c r="V7" s="10"/>
      <c r="W7" s="10"/>
      <c r="X7" s="10"/>
      <c r="Y7" s="10"/>
      <c r="Z7" s="10"/>
    </row>
    <row r="8" ht="50.25" customHeight="1">
      <c r="A8" s="58" t="s">
        <v>12</v>
      </c>
      <c r="B8" s="81" t="s">
        <v>280</v>
      </c>
      <c r="C8" s="92" t="s">
        <v>281</v>
      </c>
      <c r="D8" s="63" t="s">
        <v>299</v>
      </c>
      <c r="E8" s="87">
        <v>400000.0</v>
      </c>
      <c r="F8" s="88">
        <f t="shared" ref="F8:F10" si="1">E8*1.19</f>
        <v>476000</v>
      </c>
      <c r="G8" s="89">
        <f t="shared" ref="G8:G10" si="2">(F8+E8)/3900</f>
        <v>224.6153846</v>
      </c>
      <c r="H8" s="76" t="s">
        <v>16</v>
      </c>
      <c r="I8" s="81" t="s">
        <v>40</v>
      </c>
      <c r="J8" s="63" t="s">
        <v>300</v>
      </c>
    </row>
    <row r="9" ht="50.25" customHeight="1">
      <c r="A9" s="58" t="s">
        <v>19</v>
      </c>
      <c r="B9" s="81" t="s">
        <v>301</v>
      </c>
      <c r="C9" s="92" t="s">
        <v>281</v>
      </c>
      <c r="D9" s="63" t="s">
        <v>301</v>
      </c>
      <c r="E9" s="87">
        <v>600000.0</v>
      </c>
      <c r="F9" s="88">
        <f t="shared" si="1"/>
        <v>714000</v>
      </c>
      <c r="G9" s="89">
        <f t="shared" si="2"/>
        <v>336.9230769</v>
      </c>
      <c r="H9" s="76" t="s">
        <v>16</v>
      </c>
      <c r="I9" s="81" t="s">
        <v>40</v>
      </c>
      <c r="J9" s="63" t="s">
        <v>302</v>
      </c>
    </row>
    <row r="10" ht="50.25" customHeight="1">
      <c r="A10" s="58" t="s">
        <v>24</v>
      </c>
      <c r="B10" s="81" t="s">
        <v>303</v>
      </c>
      <c r="C10" s="92" t="s">
        <v>281</v>
      </c>
      <c r="D10" s="63" t="s">
        <v>303</v>
      </c>
      <c r="E10" s="87">
        <v>900000.0</v>
      </c>
      <c r="F10" s="88">
        <f t="shared" si="1"/>
        <v>1071000</v>
      </c>
      <c r="G10" s="89">
        <f t="shared" si="2"/>
        <v>505.3846154</v>
      </c>
      <c r="H10" s="76" t="s">
        <v>16</v>
      </c>
      <c r="I10" s="81" t="s">
        <v>40</v>
      </c>
      <c r="J10" s="81" t="s">
        <v>304</v>
      </c>
    </row>
    <row r="11" ht="15.0" hidden="1" customHeight="1">
      <c r="A11" s="25"/>
      <c r="B11" s="61"/>
      <c r="C11" s="61"/>
      <c r="D11" s="61"/>
      <c r="E11" s="61"/>
      <c r="F11" s="61"/>
      <c r="G11" s="61"/>
      <c r="H11" s="61"/>
      <c r="I11" s="61"/>
      <c r="J11" s="61"/>
    </row>
    <row r="12" ht="12.75" customHeight="1"/>
    <row r="13" ht="10.5" customHeight="1">
      <c r="A13" s="28"/>
    </row>
    <row r="14" ht="12.75" customHeight="1">
      <c r="A14" s="27"/>
      <c r="B14" s="27"/>
      <c r="C14" s="27"/>
      <c r="D14" s="27"/>
      <c r="E14" s="27"/>
      <c r="F14" s="27"/>
      <c r="G14" s="27"/>
      <c r="H14" s="27"/>
      <c r="I14" s="27"/>
      <c r="J14" s="27"/>
    </row>
    <row r="15" ht="12.7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row>
    <row r="2" ht="27.75" customHeight="1">
      <c r="D2" s="2" t="s">
        <v>0</v>
      </c>
    </row>
    <row r="3" ht="12.75" customHeight="1"/>
    <row r="4" ht="12.75" customHeight="1"/>
    <row r="5" ht="43.5" customHeight="1">
      <c r="A5" s="3" t="s">
        <v>1</v>
      </c>
      <c r="B5" s="4"/>
      <c r="C5" s="4"/>
      <c r="D5" s="4"/>
      <c r="E5" s="4"/>
      <c r="F5" s="4"/>
      <c r="G5" s="4"/>
      <c r="H5" s="4"/>
      <c r="I5" s="4"/>
      <c r="J5" s="5"/>
    </row>
    <row r="6" ht="15.75" customHeight="1"/>
    <row r="7" ht="75.75" customHeight="1">
      <c r="A7" s="6" t="s">
        <v>2</v>
      </c>
      <c r="B7" s="44" t="s">
        <v>305</v>
      </c>
      <c r="C7" s="44" t="s">
        <v>306</v>
      </c>
      <c r="D7" s="44" t="s">
        <v>307</v>
      </c>
      <c r="E7" s="44" t="s">
        <v>308</v>
      </c>
      <c r="F7" s="45" t="s">
        <v>309</v>
      </c>
      <c r="G7" s="46" t="s">
        <v>310</v>
      </c>
      <c r="H7" s="44" t="s">
        <v>9</v>
      </c>
      <c r="I7" s="44" t="s">
        <v>311</v>
      </c>
      <c r="J7" s="44" t="s">
        <v>312</v>
      </c>
      <c r="K7" s="10"/>
      <c r="L7" s="10"/>
      <c r="M7" s="10"/>
      <c r="N7" s="10"/>
      <c r="O7" s="10"/>
      <c r="P7" s="10"/>
      <c r="Q7" s="10"/>
      <c r="R7" s="10"/>
      <c r="S7" s="10"/>
      <c r="T7" s="10"/>
      <c r="U7" s="10"/>
      <c r="V7" s="10"/>
      <c r="W7" s="10"/>
      <c r="X7" s="10"/>
      <c r="Y7" s="10"/>
      <c r="Z7" s="10"/>
    </row>
    <row r="8" ht="50.25" customHeight="1">
      <c r="A8" s="58" t="s">
        <v>12</v>
      </c>
      <c r="B8" s="81" t="s">
        <v>280</v>
      </c>
      <c r="C8" s="81" t="s">
        <v>281</v>
      </c>
      <c r="D8" s="81" t="s">
        <v>313</v>
      </c>
      <c r="E8" s="63">
        <v>0.0</v>
      </c>
      <c r="F8" s="63">
        <v>0.0</v>
      </c>
      <c r="G8" s="63">
        <v>0.0</v>
      </c>
      <c r="H8" s="76" t="s">
        <v>16</v>
      </c>
      <c r="I8" s="97" t="s">
        <v>40</v>
      </c>
      <c r="J8" s="91" t="s">
        <v>314</v>
      </c>
    </row>
    <row r="9" ht="50.25" customHeight="1">
      <c r="A9" s="58" t="s">
        <v>19</v>
      </c>
      <c r="B9" s="81" t="s">
        <v>280</v>
      </c>
      <c r="C9" s="81" t="s">
        <v>281</v>
      </c>
      <c r="D9" s="81" t="s">
        <v>315</v>
      </c>
      <c r="E9" s="17">
        <v>2000000.0</v>
      </c>
      <c r="F9" s="17">
        <f t="shared" ref="F9:F10" si="1">E9*1.19</f>
        <v>2380000</v>
      </c>
      <c r="G9" s="17">
        <v>500.0</v>
      </c>
      <c r="H9" s="76" t="s">
        <v>16</v>
      </c>
      <c r="I9" s="97" t="s">
        <v>40</v>
      </c>
      <c r="J9" s="91" t="s">
        <v>316</v>
      </c>
    </row>
    <row r="10" ht="50.25" customHeight="1">
      <c r="A10" s="58" t="s">
        <v>24</v>
      </c>
      <c r="B10" s="81" t="s">
        <v>280</v>
      </c>
      <c r="C10" s="81" t="s">
        <v>281</v>
      </c>
      <c r="D10" s="63" t="s">
        <v>317</v>
      </c>
      <c r="E10" s="82">
        <v>6000000.0</v>
      </c>
      <c r="F10" s="17">
        <f t="shared" si="1"/>
        <v>7140000</v>
      </c>
      <c r="G10" s="17">
        <v>1500.0</v>
      </c>
      <c r="H10" s="76" t="s">
        <v>16</v>
      </c>
      <c r="I10" s="97" t="s">
        <v>40</v>
      </c>
      <c r="J10" s="98" t="s">
        <v>318</v>
      </c>
    </row>
    <row r="11" ht="15.0" hidden="1" customHeight="1">
      <c r="A11" s="25"/>
      <c r="B11" s="61"/>
      <c r="C11" s="61"/>
      <c r="D11" s="61"/>
      <c r="E11" s="61"/>
      <c r="F11" s="61"/>
      <c r="G11" s="61"/>
      <c r="H11" s="61"/>
      <c r="I11" s="61"/>
      <c r="J11" s="61"/>
    </row>
    <row r="12" ht="12.75" customHeight="1"/>
    <row r="13" ht="13.5" customHeight="1">
      <c r="A13" s="28"/>
    </row>
    <row r="14" ht="12.75" customHeight="1">
      <c r="A14" s="27"/>
      <c r="B14" s="27"/>
      <c r="C14" s="27"/>
      <c r="D14" s="27"/>
      <c r="E14" s="27"/>
      <c r="F14" s="27"/>
      <c r="G14" s="27"/>
      <c r="H14" s="27"/>
      <c r="I14" s="27"/>
      <c r="J14" s="27"/>
    </row>
    <row r="15" ht="16.5" customHeight="1">
      <c r="A15" s="2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9"/>
      <c r="E26" s="29"/>
      <c r="F26" s="1"/>
      <c r="G26" s="1"/>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9"/>
      <c r="B1" s="99"/>
      <c r="E1" s="100" t="s">
        <v>319</v>
      </c>
      <c r="F1" s="101" t="s">
        <v>320</v>
      </c>
      <c r="G1" s="102"/>
      <c r="H1" s="102"/>
      <c r="I1" s="103"/>
      <c r="J1" s="104"/>
      <c r="K1" s="104"/>
      <c r="L1" s="105"/>
    </row>
    <row r="2">
      <c r="A2" s="99"/>
      <c r="B2" s="106"/>
      <c r="E2" s="107" t="s">
        <v>321</v>
      </c>
      <c r="F2" s="102"/>
      <c r="G2" s="102"/>
      <c r="H2" s="102"/>
      <c r="I2" s="102"/>
      <c r="J2" s="108"/>
      <c r="K2" s="108"/>
      <c r="L2" s="102"/>
    </row>
    <row r="3">
      <c r="A3" s="99"/>
      <c r="B3" s="106"/>
    </row>
    <row r="4">
      <c r="A4" s="99"/>
      <c r="B4" s="106"/>
    </row>
    <row r="8">
      <c r="A8" s="109" t="s">
        <v>322</v>
      </c>
      <c r="B8" s="102"/>
    </row>
    <row r="9">
      <c r="A9" s="109" t="s">
        <v>323</v>
      </c>
      <c r="B9" s="110">
        <v>1.5591381E7</v>
      </c>
    </row>
    <row r="10">
      <c r="A10" s="109" t="s">
        <v>324</v>
      </c>
      <c r="B10" s="110">
        <v>2.9155E7</v>
      </c>
    </row>
    <row r="11">
      <c r="A11" s="109" t="s">
        <v>325</v>
      </c>
      <c r="B11" s="110">
        <v>5.7829121E7</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